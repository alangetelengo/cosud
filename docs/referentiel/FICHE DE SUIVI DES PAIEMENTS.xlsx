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Professionel\OneDrive\Bureau\GED-COURRIERS\"/>
    </mc:Choice>
  </mc:AlternateContent>
  <bookViews>
    <workbookView xWindow="0" yWindow="0" windowWidth="23040" windowHeight="9072"/>
  </bookViews>
  <sheets>
    <sheet name="FSP  FACTURE 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5" i="4" l="1"/>
</calcChain>
</file>

<file path=xl/sharedStrings.xml><?xml version="1.0" encoding="utf-8"?>
<sst xmlns="http://schemas.openxmlformats.org/spreadsheetml/2006/main" count="367" uniqueCount="237">
  <si>
    <t>N°</t>
  </si>
  <si>
    <t xml:space="preserve">Date </t>
  </si>
  <si>
    <t>Intitulé</t>
  </si>
  <si>
    <t>Instruction du DG</t>
  </si>
  <si>
    <t>Observation</t>
  </si>
  <si>
    <t>DAF</t>
  </si>
  <si>
    <t>Bon pour accord</t>
  </si>
  <si>
    <t>SAGP</t>
  </si>
  <si>
    <t>Montant</t>
  </si>
  <si>
    <t>Fournisseur</t>
  </si>
  <si>
    <t>Service Demandeur</t>
  </si>
  <si>
    <t xml:space="preserve">                               FICHE DE SUIVI DES PAIEMENTS FACTURE</t>
  </si>
  <si>
    <t>L'ordre de coupure de l'energie electrique du congo E²C de la Direction Générale,</t>
  </si>
  <si>
    <t>Facture N°10266/2026 de DS POWER, relative à l'installation de la baie pour de deploiement des projets</t>
  </si>
  <si>
    <t>DS POWER</t>
  </si>
  <si>
    <t>DISSI</t>
  </si>
  <si>
    <t>Devis estimatif, relatif à la pause-café des équipes techniques de tous les projets à l'immeuble TANDOU</t>
  </si>
  <si>
    <t>DDSAIT</t>
  </si>
  <si>
    <t>/</t>
  </si>
  <si>
    <t>929/DG</t>
  </si>
  <si>
    <t>919/DG</t>
  </si>
  <si>
    <t>METRO DE LUXE</t>
  </si>
  <si>
    <t>Facture n°0031, relative au paiement du mois de Juillet 2026,</t>
  </si>
  <si>
    <t>927/DG</t>
  </si>
  <si>
    <t>Facture n°0021, relative au paiement du mois de Juin 2026,</t>
  </si>
  <si>
    <t>928/DG</t>
  </si>
  <si>
    <t>Facture n°0041, relative au paiement du mois de Aout 2026,</t>
  </si>
  <si>
    <t xml:space="preserve">en cours d'utilisation </t>
  </si>
  <si>
    <t>OK</t>
  </si>
  <si>
    <t>943/DG</t>
  </si>
  <si>
    <t>903/DG</t>
  </si>
  <si>
    <t>884/DG</t>
  </si>
  <si>
    <t>27//07/2026</t>
  </si>
  <si>
    <t>Proforma N°700159, relative à l'acquisition des chaises directeur encuir avec base</t>
  </si>
  <si>
    <t>E²C</t>
  </si>
  <si>
    <t>ORCA</t>
  </si>
  <si>
    <t>944/DG</t>
  </si>
  <si>
    <t>AUTO MOBILE TOYOTA D'ORIGINE PIECES</t>
  </si>
  <si>
    <t>945/DG</t>
  </si>
  <si>
    <t>Proforma N°003147, relative à l'acquisition des pièces prado</t>
  </si>
  <si>
    <t>Proforma, relative à l'acquisition des pièces prado</t>
  </si>
  <si>
    <t>ETS BRISCO</t>
  </si>
  <si>
    <t>946/DG</t>
  </si>
  <si>
    <t>ETS HANA FRED</t>
  </si>
  <si>
    <t>947/DG</t>
  </si>
  <si>
    <t>Devis de porte en baie vitrée francaise 1m30/240</t>
  </si>
  <si>
    <t>MAMPOUYA SERVICE</t>
  </si>
  <si>
    <t>948/DG</t>
  </si>
  <si>
    <t xml:space="preserve">TOTAL  </t>
  </si>
  <si>
    <t>ETS DADY SERVICES</t>
  </si>
  <si>
    <t>949/DG</t>
  </si>
  <si>
    <t>GLENN SERVICES</t>
  </si>
  <si>
    <t>950/DG</t>
  </si>
  <si>
    <t>DISI</t>
  </si>
  <si>
    <t xml:space="preserve">Etat de besoins, formation sur l'intélligence artificielle de KALONJI BUTEKA et BANDZOUZI Christofer </t>
  </si>
  <si>
    <t>BL Technology</t>
  </si>
  <si>
    <t>Facture N°26070000992, relative à la maintenance complete du système solaire</t>
  </si>
  <si>
    <t>956/DG</t>
  </si>
  <si>
    <t>923/DG</t>
  </si>
  <si>
    <t>SILICON CONNECT</t>
  </si>
  <si>
    <t>Urgence signalée</t>
  </si>
  <si>
    <t>925/DG</t>
  </si>
  <si>
    <t>Etat de paiement des remboursements des frais médicaux a prendre en compte dans la paie du mois de juillet 2026</t>
  </si>
  <si>
    <t>Joindre les supports relatif à chaque agent</t>
  </si>
  <si>
    <t>Ayant Droit</t>
  </si>
  <si>
    <t>Facture N° FAC20260701-3PFXY-PIUJC, relative à la maintenance complete du système solaire</t>
  </si>
  <si>
    <t>980/DG</t>
  </si>
  <si>
    <t>KUDIA</t>
  </si>
  <si>
    <t>981/DG</t>
  </si>
  <si>
    <t>Facture N° 123/KUDIA/08/26, paiement de la prestation de restauration et livraison des plats de la cantine PDRCL &amp; SIFEC</t>
  </si>
  <si>
    <t>982/DG</t>
  </si>
  <si>
    <t>CG</t>
  </si>
  <si>
    <t>892/DG</t>
  </si>
  <si>
    <t>CONGO TELECOM</t>
  </si>
  <si>
    <t>Facture N°F26070906076CT, relative au paiement internet mois de juin 2026, de la Direction Générale,</t>
  </si>
  <si>
    <t>983/DG</t>
  </si>
  <si>
    <t>Facture N°021-21/07/26, relative à la location vehicule PRADO TXL, période du 18 au 21 juillet 2026</t>
  </si>
  <si>
    <t>Facture N°124/KUDIA/08/26, paiement de la prestation de restauration et livraison des plats de la cantine CURS</t>
  </si>
  <si>
    <t>Etat de besoin relatif à la dotation des ordinateurs et accessoires au profit de la cellure de contrôle de gestion</t>
  </si>
  <si>
    <t>991/DG</t>
  </si>
  <si>
    <t>Facture proforma N°FCP-02726008, relative au renouvellement de l'hebergement web de l'ACSI</t>
  </si>
  <si>
    <t xml:space="preserve">OLALA ISMAIL BEN </t>
  </si>
  <si>
    <t>1003/DG</t>
  </si>
  <si>
    <t>1004/DG</t>
  </si>
  <si>
    <t>Facture N°0188, relative à la location de la hyundai Starex comptant pour le mois de juillet 2026</t>
  </si>
  <si>
    <t xml:space="preserve">Facture N°89/07/BS/2026, relative à la location du mini bus hyudai grand starex 775UA4 </t>
  </si>
  <si>
    <t>EDITION LES SOZO</t>
  </si>
  <si>
    <t>BILLY SERVICES</t>
  </si>
  <si>
    <t>1006/DG</t>
  </si>
  <si>
    <t>Facture proforma N°S98805, relative à l'acquisition des fauteuil president chat-mix cuir noir</t>
  </si>
  <si>
    <t>BUROTEC</t>
  </si>
  <si>
    <t xml:space="preserve">Dans la programmation </t>
  </si>
  <si>
    <t>1010/DG</t>
  </si>
  <si>
    <t>Facture N° FAC20260701-3PFXY-SPAPW</t>
  </si>
  <si>
    <t>101/DG</t>
  </si>
  <si>
    <t>Facture N° FAC20260701-3PFXY-2S5K3</t>
  </si>
  <si>
    <t>Facture N° FAC20260701-3PFXY-UO8XP</t>
  </si>
  <si>
    <t>102/DG</t>
  </si>
  <si>
    <t>1028/DG</t>
  </si>
  <si>
    <t>Proforma N°83/ENDS, relative à l'acquisition des consommables informatique</t>
  </si>
  <si>
    <t>ETS ND SERVICES</t>
  </si>
  <si>
    <t>1029/DG</t>
  </si>
  <si>
    <t>1037/DG</t>
  </si>
  <si>
    <t>1038/DG</t>
  </si>
  <si>
    <t>ETS DB</t>
  </si>
  <si>
    <t>1039/DG</t>
  </si>
  <si>
    <t>BONNE NOUVELLE</t>
  </si>
  <si>
    <t>Facture proforma N°81/ENDS, relative à l'acquisition des consommables informatique</t>
  </si>
  <si>
    <t>Facture proforma N°90/ENDS, relative à l'acquisition des matériels informatique</t>
  </si>
  <si>
    <t>Facture proforma N°96, relative à l'acquisition D'une imprimante hp multifonction 179</t>
  </si>
  <si>
    <t>1002/DG</t>
  </si>
  <si>
    <t>Facture N°029-29/07/2026, relative à la location véhicule Prado TXL</t>
  </si>
  <si>
    <t>ROSERAIE SERVICES</t>
  </si>
  <si>
    <t>989/DG</t>
  </si>
  <si>
    <t xml:space="preserve">Devis relatif à la fabrication et pose d'une fenêtre </t>
  </si>
  <si>
    <t>1067/DG</t>
  </si>
  <si>
    <t>1071/DG</t>
  </si>
  <si>
    <t>1083/DG</t>
  </si>
  <si>
    <t>GROUPE DREAMS LINK TECHNOLOGIES</t>
  </si>
  <si>
    <t>Facture N°021/12/GDLT/25, relative aux travaux d'amenagement du bureau du DDSAIT à la Direction Générale,</t>
  </si>
  <si>
    <t>1090/DG</t>
  </si>
  <si>
    <t>1092/DG</t>
  </si>
  <si>
    <t>Facture N°22/12/GDLT/25, relative à l'amenageùent des bureaux de la DDSAIT (Fourniture et pose des portes, pose d'une loquette, plafond et plomberie,</t>
  </si>
  <si>
    <t>1094/DG</t>
  </si>
  <si>
    <t>1096/DG</t>
  </si>
  <si>
    <t>1086/DG</t>
  </si>
  <si>
    <t>1088/DG</t>
  </si>
  <si>
    <t>Facture N°10185/2026 relative à la location gru, inverseur manuel, cable, achat carburant et main d'œuvre.</t>
  </si>
  <si>
    <t>Facture N°0068-1169/1990, du DAF période de Juillet-Aout 2026.</t>
  </si>
  <si>
    <t>Facture proforma N°178, relative à l'acquisition D'une imprimante hp multifonction 179.</t>
  </si>
  <si>
    <t>Facture N°15/12/GDLT/25, relative à l'aménagement garage DG (manuiserie metallique).</t>
  </si>
  <si>
    <t>Facture N°16/12/GDLT/25, relative à l'aménagement garage DG, espace de repos à la Direction Générale (carrelage, pergola, peinture, grilles, serrure).</t>
  </si>
  <si>
    <t>Facture N°19/12/GDLT/25, relative à l'amenagement de la salle de réunion (pose d'une moquette, revision du circuit électrique et nettoyage clim).</t>
  </si>
  <si>
    <t>Facture N°20/12/GDLT/25, relative à l'amenagement de la salle de reunion (Fourniture et pose des stores jours et nuit, plafond acoustique, panneau mural, fenetre et porte et choix et fourniture de bureau).</t>
  </si>
  <si>
    <t>1098/DG</t>
  </si>
  <si>
    <t>Facture N°14/12/GDLT/25, relative aux travaux de peinture, de carrelage et de deplacement du circuit de climatisation bureaux de la DSTF à la Direction Générale.</t>
  </si>
  <si>
    <t>1100/DG</t>
  </si>
  <si>
    <t xml:space="preserve">Facture N°15/12/GDLT/25, relative aux travaux de pose de baies vitree et cloison de separation des bureaux de la DSTF à la Direction Générale </t>
  </si>
  <si>
    <t>1102/DG</t>
  </si>
  <si>
    <t>Facture N°16/12/GDLT/25, relative à la fourniture et pose d'un plafond et choix, fourniture et installation des portes en bois de la DSTF à la Direction Générale.</t>
  </si>
  <si>
    <t>1104/DG</t>
  </si>
  <si>
    <t>Facture N°15/06/GDLT/26, relative au demontage et remontage du parois externe de la table de runion de la salle 2001 et demontage des ecrans pour installation des clés USB.</t>
  </si>
  <si>
    <t>Facture N°17/12/GDLT/25, relative aux travaux de fourniture et pose de panneau mural, moquette et de plomberie ainsi que d'électricité des bureaux de la DSTF à la Direction Générale.</t>
  </si>
  <si>
    <t>1106/DG</t>
  </si>
  <si>
    <t>Facture N°18/12/GDLT/25, relative à l'2tancheité, fourniture et pose des stores jours et nuits et d'une moquette dans les bureaux de la Direction Générale.</t>
  </si>
  <si>
    <t>1109/DG</t>
  </si>
  <si>
    <t>Facture N°20/12/GDLT/25, relative à l'amenagement des bureaux de la DCCC.</t>
  </si>
  <si>
    <t>1111/DG</t>
  </si>
  <si>
    <t>Facture N°30/12/GDLT/25, relative à l'aménagement des bureaux de la Direction du Contrôleur de Gestion à la Direction Générale.</t>
  </si>
  <si>
    <t>1113/DG</t>
  </si>
  <si>
    <t>Facture N°28/12/GDLT/25, relative à la facilitation de la circulation dans la cour de l'Agence à la Direction Générale en période de pluie (Renforcement de la dalle de la cour, renforcement de la structure enfuit, mener et repli du matériels).</t>
  </si>
  <si>
    <t>1115/DG</t>
  </si>
  <si>
    <t>Facture N°24/12/GDLT/25, relative à l'aménagement des bureaux de la DISSI</t>
  </si>
  <si>
    <t>1117/DG</t>
  </si>
  <si>
    <t>Facture N°34/12/GDLT/25, relative à l'aménagement des conteneurs</t>
  </si>
  <si>
    <t>1119/DG</t>
  </si>
  <si>
    <t>Facture N°47/08/GDLT/25, relative à l'aménagement des bureaux de la DISI (application peinture et installation des stores).</t>
  </si>
  <si>
    <t>1121/DG</t>
  </si>
  <si>
    <t>Facture N°48/08/GDLT/25, relative à l'aménagement des bureaux de madame la DISI (electricité, déplacement circuit climatisation, fourniture et pose d'un plafond acoustique)</t>
  </si>
  <si>
    <t>1123/DG</t>
  </si>
  <si>
    <t>Facture N°49/08/GDLT/25, relative à l'aménagement des bureaux de la DISI (carrelage, plomberie, fourniture et pose d'une moquette).</t>
  </si>
  <si>
    <t>1125DG</t>
  </si>
  <si>
    <t>Facture N°50/08/GDLT/25, relative à l'amenagement des bureaux de madame la DISI (fabrication et pose des cloisons de separation et de micro perfores).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</si>
  <si>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</si>
  <si>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</si>
  <si>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</si>
  <si>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</si>
  <si>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</si>
  <si>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</si>
  <si>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</si>
  <si>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</si>
  <si>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1128/DG</t>
  </si>
  <si>
    <t xml:space="preserve">Paiement Facture LCDE de la Direction Générale mois Aout 2026, </t>
  </si>
  <si>
    <t>LCDE</t>
  </si>
  <si>
    <t>1126/DG</t>
  </si>
  <si>
    <t>1127/DG</t>
  </si>
  <si>
    <t>1130/DG</t>
  </si>
  <si>
    <t>ETS DALPIVOT AIR FROID</t>
  </si>
  <si>
    <t>1131/DG</t>
  </si>
  <si>
    <t>Facture N°01, relative à la prestation de maintenance préventive du mois de janvier 2026</t>
  </si>
  <si>
    <t>1132/DG</t>
  </si>
  <si>
    <t>1133/DG</t>
  </si>
  <si>
    <t>1134/DG</t>
  </si>
  <si>
    <t>1135/DG</t>
  </si>
  <si>
    <t>Facture N°02, relative à la prestation de maintenance préventive du mois de Févrie 2026</t>
  </si>
  <si>
    <t>Facture N°03, relative à la prestation de maintenance préventive du mois de Mars 2026</t>
  </si>
  <si>
    <t>Facture N°04, relative à la prestation de maintenance préventive du mois de Avril 2026</t>
  </si>
  <si>
    <t>Facture N°05, relative à la prestation de maintenance préventive du mois de Mai 2026</t>
  </si>
  <si>
    <t>Facture N°06, relative à la prestation de maintenance préventive du mois de Juin 2026</t>
  </si>
  <si>
    <t>1136/DG</t>
  </si>
  <si>
    <t>Facture N°07, relative à la prestation de maintenance préventive du mois de Juillet 2026</t>
  </si>
  <si>
    <t>Facture proforma N°10180/2026, inverseur manuel, cable, achat carburant, main d'œuvre manutention, location groupe 44KVA (2mois)</t>
  </si>
  <si>
    <t>Devis, relatif à la réparation du surpresseur</t>
  </si>
  <si>
    <t>1009/DG</t>
  </si>
  <si>
    <t>1008/DG</t>
  </si>
  <si>
    <t>Facture N°0058/SFTRN-ACSI/IMMO/026, relative au reglèment du mois d'Aout 2026</t>
  </si>
  <si>
    <t>SOFT RENOVATIONS</t>
  </si>
  <si>
    <t>Facture N°0057/SFTRN-ACSI/IMMO/026, relative au reglèment du mois d'Aout 2026</t>
  </si>
  <si>
    <t>1030/DG</t>
  </si>
  <si>
    <t>Devis estimatif de l'antenne départementale, relatif à la célébration de la fete du 15 aout 2026,</t>
  </si>
  <si>
    <t>Pointe Noire</t>
  </si>
  <si>
    <t>1157/DG</t>
  </si>
  <si>
    <t>Devis N°S113104, relative à l'acquisition d'une television TCL 98 LED SMART 4K</t>
  </si>
  <si>
    <t>1150/DG</t>
  </si>
  <si>
    <t>Facture N°F26080907948CT, relative au paiement postpayé speed pro 100 site bureau DG
IP Adress SITE BUREAU DG
Speed-Business-Bronze site ACSI</t>
  </si>
  <si>
    <t>1170/DG</t>
  </si>
  <si>
    <t>Proforma relative à la vidange de la 032GGQ4</t>
  </si>
  <si>
    <t>PUMA</t>
  </si>
  <si>
    <t>954/DG</t>
  </si>
  <si>
    <t>Facture N°039/ADIAC/DB, relative à l'abonnement d'une année (12) mois en raison de 6 journaux par jour</t>
  </si>
  <si>
    <t>LES DEPECHES DE BRAZZAVILLE</t>
  </si>
  <si>
    <t>1145/DG</t>
  </si>
  <si>
    <t xml:space="preserve">Facture N° 0189, relative à la location de la hyundai grand starex comptant pour le mois d'aout 2026 </t>
  </si>
  <si>
    <t>1152/DG</t>
  </si>
  <si>
    <t>Facture N°9503, relative à l'acquisition d'un pneus pour la 032GGQ4,</t>
  </si>
  <si>
    <t>AFRIQUE AUTOMOBILE</t>
  </si>
  <si>
    <t>1154/DG</t>
  </si>
  <si>
    <t>Facture Proforma N°003031, relative à l'acquisition d'un pneus pour la 032GGQ4,</t>
  </si>
  <si>
    <t>1151/DG</t>
  </si>
  <si>
    <t>Facture N°124/09/KU/26, relative au paiement de la prestation de restauration et livraison des plats de la cantine, pour 32 personnes facturées au prix de 7250/personne sur 26 jours/Mois</t>
  </si>
  <si>
    <t>1160/DG</t>
  </si>
  <si>
    <t>Facture N°125/KUDIA/09/26, relative au paiement de la prestation de restauration et livraison des plats de la cantine, pour 18 personnes facturées au prix de 7250/personne sur 26 jours/Mois, site virage Maya-Maya</t>
  </si>
  <si>
    <t>1174/DG</t>
  </si>
  <si>
    <t>Facture N°0051, relative au paiement du mois de Septembre 2026</t>
  </si>
  <si>
    <t>METRE DE LUXE</t>
  </si>
  <si>
    <t>942/DG</t>
  </si>
  <si>
    <t>1190/DG</t>
  </si>
  <si>
    <t>Facture N°174/09/AFCOM/2026, relative au paiement du mois de septembre 2026</t>
  </si>
  <si>
    <t>AF,COM</t>
  </si>
  <si>
    <t>1177/DG</t>
  </si>
  <si>
    <t xml:space="preserve">Devis N°10179/2026, relative à  </t>
  </si>
  <si>
    <t>Grand livre auxiliaire total compte 41110302 du 01/01/2020 au 31/12/2026</t>
  </si>
  <si>
    <t>Justificatif de solde tiers</t>
  </si>
  <si>
    <t>PHARMACIE MAVRE</t>
  </si>
  <si>
    <t>1182/DG</t>
  </si>
  <si>
    <t>1181/DG</t>
  </si>
  <si>
    <t>Proforma N°158 relative à la vidange de la 901 GDQ4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</si>
</sst>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2" xfId="1" applyNumberFormat="1" applyFont="1" applyBorder="1" applyAlignment="1">
      <alignment horizontal="right" vertical="center" wrapText="1"/>
    </xf>
    <xf numFmtId="14" fontId="0" fillId="0" borderId="2" xfId="0" applyNumberFormat="1" applyBorder="1" applyAlignment="1">
      <alignment horizontal="center" vertical="center"/>
    </xf>
    <xf numFmtId="164" fontId="0" fillId="0" borderId="0" xfId="1" applyNumberFormat="1" applyFont="1"/>
    <xf numFmtId="14" fontId="0" fillId="0" borderId="6" xfId="0" applyNumberFormat="1" applyBorder="1" applyAlignment="1">
      <alignment horizontal="center" vertical="center"/>
    </xf>
    <xf numFmtId="164" fontId="0" fillId="0" borderId="6" xfId="1" applyNumberFormat="1" applyFont="1" applyBorder="1" applyAlignment="1">
      <alignment horizontal="right" vertical="center" wrapText="1"/>
    </xf>
    <xf numFmtId="0" fontId="0" fillId="0" borderId="6" xfId="0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right" vertical="center" wrapText="1"/>
    </xf>
    <xf numFmtId="0" fontId="0" fillId="0" borderId="2" xfId="0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2" xfId="0" applyFill="1" applyBorder="1" applyAlignment="1">
      <alignment horizontal="center" vertical="center" wrapText="1"/>
    </xf>
    <xf numFmtId="164" fontId="0" fillId="0" borderId="2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justify" wrapText="1" indent="1"/>
    </xf>
    <xf numFmtId="0" fontId="0" fillId="0" borderId="6" xfId="0" applyBorder="1" applyAlignment="1">
      <alignment horizontal="left" vertical="justify" wrapText="1" indent="1"/>
    </xf>
    <xf numFmtId="0" fontId="0" fillId="0" borderId="2" xfId="0" applyFill="1" applyBorder="1" applyAlignment="1">
      <alignment horizontal="left" vertical="justify" wrapText="1" indent="1"/>
    </xf>
    <xf numFmtId="14" fontId="0" fillId="0" borderId="8" xfId="0" applyNumberFormat="1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 wrapText="1"/>
    </xf>
    <xf numFmtId="164" fontId="0" fillId="0" borderId="7" xfId="1" applyNumberFormat="1" applyFont="1" applyFill="1" applyBorder="1" applyAlignment="1">
      <alignment horizontal="right" vertical="center" wrapText="1"/>
    </xf>
    <xf numFmtId="0" fontId="0" fillId="0" borderId="7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7" xfId="0" applyFill="1" applyBorder="1" applyAlignment="1">
      <alignment horizontal="left" vertical="justify" wrapText="1" indent="1"/>
    </xf>
    <xf numFmtId="0" fontId="0" fillId="0" borderId="7" xfId="0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7" xfId="1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10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\ _€_-;\-* #,##0\ _€_-;_-* &quot;-&quot;??\ _€_-;_-@_-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justify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4:H96" totalsRowShown="0" headerRowDxfId="9" tableBorderDxfId="8">
  <autoFilter ref="A4:H96"/>
  <tableColumns count="8">
    <tableColumn id="1" name="Colonne1" dataDxfId="7"/>
    <tableColumn id="2" name="Colonne2" dataDxfId="6"/>
    <tableColumn id="3" name="Colonne3" dataDxfId="5"/>
    <tableColumn id="4" name="Colonne4" dataDxfId="4" dataCellStyle="Milliers"/>
    <tableColumn id="5" name="Colonne5" dataDxfId="3"/>
    <tableColumn id="6" name="Colonne6" dataDxfId="2"/>
    <tableColumn id="7" name="Colonne7" dataDxfId="1"/>
    <tableColumn id="8" name="Colonne8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96"/>
  <sheetViews>
    <sheetView tabSelected="1" topLeftCell="A7" workbookViewId="0">
      <selection activeCell="I9" sqref="I9"/>
    </sheetView>
  </sheetViews>
  <sheetFormatPr baseColWidth="10" defaultRowHeight="14.4" x14ac:dyDescent="0.3"/>
  <cols>
    <col min="1" max="1" width="10.88671875" style="2" customWidth="1"/>
    <col min="2" max="2" width="11.88671875" customWidth="1"/>
    <col min="3" max="3" width="27.21875" customWidth="1"/>
    <col min="4" max="4" width="16.109375" customWidth="1"/>
    <col min="5" max="5" width="18.33203125" customWidth="1"/>
    <col min="6" max="6" width="15.77734375" customWidth="1"/>
    <col min="7" max="7" width="19.109375" customWidth="1"/>
    <col min="8" max="8" width="14.21875" customWidth="1"/>
    <col min="10" max="10" width="12.6640625" style="8" bestFit="1" customWidth="1"/>
    <col min="12" max="13" width="12.6640625" bestFit="1" customWidth="1"/>
  </cols>
  <sheetData>
    <row r="2" spans="1:8" ht="23.4" x14ac:dyDescent="0.45">
      <c r="C2" s="1" t="s">
        <v>11</v>
      </c>
    </row>
    <row r="4" spans="1:8" ht="28.2" customHeight="1" thickBot="1" x14ac:dyDescent="0.35">
      <c r="A4" s="47" t="s">
        <v>163</v>
      </c>
      <c r="B4" s="48" t="s">
        <v>164</v>
      </c>
      <c r="C4" s="48" t="s">
        <v>165</v>
      </c>
      <c r="D4" s="48" t="s">
        <v>166</v>
      </c>
      <c r="E4" s="48" t="s">
        <v>167</v>
      </c>
      <c r="F4" s="48" t="s">
        <v>168</v>
      </c>
      <c r="G4" s="48" t="s">
        <v>169</v>
      </c>
      <c r="H4" s="49" t="s">
        <v>170</v>
      </c>
    </row>
    <row r="5" spans="1:8" ht="30" thickTop="1" thickBot="1" x14ac:dyDescent="0.35">
      <c r="A5" s="34" t="s">
        <v>0</v>
      </c>
      <c r="B5" s="31" t="s">
        <v>1</v>
      </c>
      <c r="C5" s="31" t="s">
        <v>2</v>
      </c>
      <c r="D5" s="31" t="s">
        <v>8</v>
      </c>
      <c r="E5" s="31" t="s">
        <v>9</v>
      </c>
      <c r="F5" s="31" t="s">
        <v>10</v>
      </c>
      <c r="G5" s="31" t="s">
        <v>3</v>
      </c>
      <c r="H5" s="40" t="s">
        <v>4</v>
      </c>
    </row>
    <row r="6" spans="1:8" ht="29.4" thickTop="1" x14ac:dyDescent="0.3">
      <c r="A6" s="35"/>
      <c r="B6" s="25">
        <v>46218</v>
      </c>
      <c r="C6" s="26" t="s">
        <v>192</v>
      </c>
      <c r="D6" s="28">
        <v>47000</v>
      </c>
      <c r="E6" s="26" t="s">
        <v>51</v>
      </c>
      <c r="F6" s="26" t="s">
        <v>5</v>
      </c>
      <c r="G6" s="27" t="s">
        <v>6</v>
      </c>
      <c r="H6" s="41"/>
    </row>
    <row r="7" spans="1:8" ht="57.6" x14ac:dyDescent="0.3">
      <c r="A7" s="36" t="s">
        <v>31</v>
      </c>
      <c r="B7" s="9">
        <v>46219</v>
      </c>
      <c r="C7" s="23" t="s">
        <v>16</v>
      </c>
      <c r="D7" s="10">
        <v>1949700</v>
      </c>
      <c r="E7" s="11" t="s">
        <v>64</v>
      </c>
      <c r="F7" s="11" t="s">
        <v>17</v>
      </c>
      <c r="G7" s="11" t="s">
        <v>6</v>
      </c>
      <c r="H7" s="42" t="s">
        <v>27</v>
      </c>
    </row>
    <row r="8" spans="1:8" ht="57.6" x14ac:dyDescent="0.3">
      <c r="A8" s="36" t="s">
        <v>72</v>
      </c>
      <c r="B8" s="7">
        <v>46223</v>
      </c>
      <c r="C8" s="22" t="s">
        <v>74</v>
      </c>
      <c r="D8" s="6">
        <v>1035000</v>
      </c>
      <c r="E8" s="4" t="s">
        <v>73</v>
      </c>
      <c r="F8" s="4" t="s">
        <v>5</v>
      </c>
      <c r="G8" s="15" t="s">
        <v>6</v>
      </c>
      <c r="H8" s="43" t="s">
        <v>91</v>
      </c>
    </row>
    <row r="9" spans="1:8" ht="57.6" x14ac:dyDescent="0.3">
      <c r="A9" s="37" t="s">
        <v>30</v>
      </c>
      <c r="B9" s="9">
        <v>46224</v>
      </c>
      <c r="C9" s="23" t="s">
        <v>13</v>
      </c>
      <c r="D9" s="10">
        <v>8944252.5</v>
      </c>
      <c r="E9" s="11" t="s">
        <v>14</v>
      </c>
      <c r="F9" s="2" t="s">
        <v>15</v>
      </c>
      <c r="G9" s="4" t="s">
        <v>6</v>
      </c>
      <c r="H9" s="54" t="s">
        <v>7</v>
      </c>
    </row>
    <row r="10" spans="1:8" ht="43.2" x14ac:dyDescent="0.3">
      <c r="A10" s="37" t="s">
        <v>20</v>
      </c>
      <c r="B10" s="7">
        <v>46226</v>
      </c>
      <c r="C10" s="24" t="s">
        <v>22</v>
      </c>
      <c r="D10" s="12">
        <v>599294</v>
      </c>
      <c r="E10" s="13" t="s">
        <v>21</v>
      </c>
      <c r="F10" s="4" t="s">
        <v>5</v>
      </c>
      <c r="G10" s="4" t="s">
        <v>6</v>
      </c>
      <c r="H10" s="44" t="s">
        <v>5</v>
      </c>
    </row>
    <row r="11" spans="1:8" ht="57.6" x14ac:dyDescent="0.3">
      <c r="A11" s="37" t="s">
        <v>58</v>
      </c>
      <c r="B11" s="7">
        <v>46226</v>
      </c>
      <c r="C11" s="24" t="s">
        <v>65</v>
      </c>
      <c r="D11" s="12">
        <v>96309</v>
      </c>
      <c r="E11" s="13" t="s">
        <v>59</v>
      </c>
      <c r="F11" s="4" t="s">
        <v>15</v>
      </c>
      <c r="G11" s="20" t="s">
        <v>60</v>
      </c>
      <c r="H11" s="44" t="s">
        <v>5</v>
      </c>
    </row>
    <row r="12" spans="1:8" ht="72" x14ac:dyDescent="0.3">
      <c r="A12" s="37" t="s">
        <v>61</v>
      </c>
      <c r="B12" s="7">
        <v>46226</v>
      </c>
      <c r="C12" s="24" t="s">
        <v>62</v>
      </c>
      <c r="D12" s="12">
        <v>516450</v>
      </c>
      <c r="E12" s="13" t="s">
        <v>64</v>
      </c>
      <c r="F12" s="4" t="s">
        <v>5</v>
      </c>
      <c r="G12" s="21" t="s">
        <v>63</v>
      </c>
      <c r="H12" s="44" t="s">
        <v>28</v>
      </c>
    </row>
    <row r="13" spans="1:8" ht="43.2" x14ac:dyDescent="0.3">
      <c r="A13" s="38" t="s">
        <v>23</v>
      </c>
      <c r="B13" s="7">
        <v>46226</v>
      </c>
      <c r="C13" s="24" t="s">
        <v>24</v>
      </c>
      <c r="D13" s="6">
        <v>317087</v>
      </c>
      <c r="E13" s="13" t="s">
        <v>21</v>
      </c>
      <c r="F13" s="4" t="s">
        <v>5</v>
      </c>
      <c r="G13" s="4" t="s">
        <v>6</v>
      </c>
      <c r="H13" s="44" t="s">
        <v>5</v>
      </c>
    </row>
    <row r="14" spans="1:8" ht="43.2" x14ac:dyDescent="0.3">
      <c r="A14" s="38" t="s">
        <v>25</v>
      </c>
      <c r="B14" s="3">
        <v>46226</v>
      </c>
      <c r="C14" s="24" t="s">
        <v>26</v>
      </c>
      <c r="D14" s="12">
        <v>599294</v>
      </c>
      <c r="E14" s="13" t="s">
        <v>21</v>
      </c>
      <c r="F14" s="4" t="s">
        <v>5</v>
      </c>
      <c r="G14" s="4" t="s">
        <v>6</v>
      </c>
      <c r="H14" s="45"/>
    </row>
    <row r="15" spans="1:8" ht="43.2" x14ac:dyDescent="0.3">
      <c r="A15" s="38" t="s">
        <v>19</v>
      </c>
      <c r="B15" s="3">
        <v>46226</v>
      </c>
      <c r="C15" s="22" t="s">
        <v>12</v>
      </c>
      <c r="D15" s="6">
        <v>634390</v>
      </c>
      <c r="E15" s="4" t="s">
        <v>34</v>
      </c>
      <c r="F15" s="4" t="s">
        <v>5</v>
      </c>
      <c r="G15" s="4" t="s">
        <v>6</v>
      </c>
      <c r="H15" s="44" t="s">
        <v>28</v>
      </c>
    </row>
    <row r="16" spans="1:8" ht="43.2" x14ac:dyDescent="0.3">
      <c r="A16" s="38" t="s">
        <v>225</v>
      </c>
      <c r="B16" s="3">
        <v>46230</v>
      </c>
      <c r="C16" s="22" t="s">
        <v>231</v>
      </c>
      <c r="D16" s="6">
        <v>3622500</v>
      </c>
      <c r="E16" s="4" t="s">
        <v>73</v>
      </c>
      <c r="F16" s="4" t="s">
        <v>5</v>
      </c>
      <c r="G16" s="4"/>
      <c r="H16" s="44"/>
    </row>
    <row r="17" spans="1:13" ht="43.2" x14ac:dyDescent="0.3">
      <c r="A17" s="38" t="s">
        <v>29</v>
      </c>
      <c r="B17" s="3" t="s">
        <v>32</v>
      </c>
      <c r="C17" s="24" t="s">
        <v>33</v>
      </c>
      <c r="D17" s="12">
        <v>639680</v>
      </c>
      <c r="E17" s="13" t="s">
        <v>35</v>
      </c>
      <c r="F17" s="4" t="s">
        <v>5</v>
      </c>
      <c r="G17" s="4"/>
      <c r="H17" s="45"/>
    </row>
    <row r="18" spans="1:13" ht="43.2" x14ac:dyDescent="0.3">
      <c r="A18" s="38" t="s">
        <v>36</v>
      </c>
      <c r="B18" s="3" t="s">
        <v>32</v>
      </c>
      <c r="C18" s="24" t="s">
        <v>39</v>
      </c>
      <c r="D18" s="12">
        <v>235000</v>
      </c>
      <c r="E18" s="17" t="s">
        <v>37</v>
      </c>
      <c r="F18" s="4" t="s">
        <v>5</v>
      </c>
      <c r="G18" s="4"/>
      <c r="H18" s="45"/>
    </row>
    <row r="19" spans="1:13" ht="28.8" x14ac:dyDescent="0.3">
      <c r="A19" s="38" t="s">
        <v>38</v>
      </c>
      <c r="B19" s="3" t="s">
        <v>32</v>
      </c>
      <c r="C19" s="24" t="s">
        <v>40</v>
      </c>
      <c r="D19" s="12">
        <v>460000</v>
      </c>
      <c r="E19" s="13" t="s">
        <v>41</v>
      </c>
      <c r="F19" s="4"/>
      <c r="G19" s="4"/>
      <c r="H19" s="45"/>
      <c r="M19" s="8"/>
    </row>
    <row r="20" spans="1:13" ht="28.8" x14ac:dyDescent="0.3">
      <c r="A20" s="38" t="s">
        <v>42</v>
      </c>
      <c r="B20" s="3" t="s">
        <v>32</v>
      </c>
      <c r="C20" s="24" t="s">
        <v>40</v>
      </c>
      <c r="D20" s="12">
        <v>395000</v>
      </c>
      <c r="E20" s="13" t="s">
        <v>43</v>
      </c>
      <c r="F20" s="4"/>
      <c r="G20" s="4"/>
      <c r="H20" s="45"/>
      <c r="L20" s="8"/>
      <c r="M20" s="8"/>
    </row>
    <row r="21" spans="1:13" ht="28.8" x14ac:dyDescent="0.3">
      <c r="A21" s="38" t="s">
        <v>44</v>
      </c>
      <c r="B21" s="3" t="s">
        <v>32</v>
      </c>
      <c r="C21" s="24" t="s">
        <v>45</v>
      </c>
      <c r="D21" s="12">
        <v>468000</v>
      </c>
      <c r="E21" s="13" t="s">
        <v>46</v>
      </c>
      <c r="F21" s="4"/>
      <c r="G21" s="4"/>
      <c r="H21" s="45"/>
      <c r="L21" s="8"/>
      <c r="M21" s="19"/>
    </row>
    <row r="22" spans="1:13" ht="28.8" x14ac:dyDescent="0.3">
      <c r="A22" s="38" t="s">
        <v>47</v>
      </c>
      <c r="B22" s="3" t="s">
        <v>32</v>
      </c>
      <c r="C22" s="24" t="s">
        <v>45</v>
      </c>
      <c r="D22" s="12">
        <v>483600</v>
      </c>
      <c r="E22" s="13" t="s">
        <v>49</v>
      </c>
      <c r="F22" s="4"/>
      <c r="G22" s="4"/>
      <c r="H22" s="45"/>
      <c r="L22" s="8"/>
    </row>
    <row r="23" spans="1:13" ht="28.8" x14ac:dyDescent="0.3">
      <c r="A23" s="38" t="s">
        <v>50</v>
      </c>
      <c r="B23" s="3" t="s">
        <v>32</v>
      </c>
      <c r="C23" s="24" t="s">
        <v>45</v>
      </c>
      <c r="D23" s="12">
        <v>396240</v>
      </c>
      <c r="E23" s="13" t="s">
        <v>51</v>
      </c>
      <c r="F23" s="4"/>
      <c r="G23" s="4"/>
      <c r="H23" s="45"/>
    </row>
    <row r="24" spans="1:13" ht="57.6" x14ac:dyDescent="0.3">
      <c r="A24" s="38" t="s">
        <v>52</v>
      </c>
      <c r="B24" s="3">
        <v>46231</v>
      </c>
      <c r="C24" s="24" t="s">
        <v>54</v>
      </c>
      <c r="D24" s="18" t="s">
        <v>18</v>
      </c>
      <c r="E24" s="18" t="s">
        <v>18</v>
      </c>
      <c r="F24" s="4" t="s">
        <v>53</v>
      </c>
      <c r="G24" s="4"/>
      <c r="H24" s="45"/>
    </row>
    <row r="25" spans="1:13" ht="57.6" x14ac:dyDescent="0.3">
      <c r="A25" s="38" t="s">
        <v>208</v>
      </c>
      <c r="B25" s="7">
        <v>46231</v>
      </c>
      <c r="C25" s="24" t="s">
        <v>209</v>
      </c>
      <c r="D25" s="18">
        <v>270000</v>
      </c>
      <c r="E25" s="18" t="s">
        <v>210</v>
      </c>
      <c r="F25" s="4"/>
      <c r="G25" s="4"/>
      <c r="H25" s="45"/>
    </row>
    <row r="26" spans="1:13" ht="43.2" x14ac:dyDescent="0.3">
      <c r="A26" s="38" t="s">
        <v>57</v>
      </c>
      <c r="B26" s="7">
        <v>46231</v>
      </c>
      <c r="C26" s="24" t="s">
        <v>56</v>
      </c>
      <c r="D26" s="12">
        <v>594500</v>
      </c>
      <c r="E26" s="13" t="s">
        <v>55</v>
      </c>
      <c r="F26" s="4" t="s">
        <v>5</v>
      </c>
      <c r="G26" s="4"/>
      <c r="H26" s="45"/>
    </row>
    <row r="27" spans="1:13" ht="57.6" x14ac:dyDescent="0.3">
      <c r="A27" s="38" t="s">
        <v>66</v>
      </c>
      <c r="B27" s="7">
        <v>46232</v>
      </c>
      <c r="C27" s="24" t="s">
        <v>77</v>
      </c>
      <c r="D27" s="12">
        <v>3393000</v>
      </c>
      <c r="E27" s="13" t="s">
        <v>67</v>
      </c>
      <c r="F27" s="4" t="s">
        <v>5</v>
      </c>
      <c r="G27" s="4"/>
      <c r="H27" s="45"/>
    </row>
    <row r="28" spans="1:13" ht="72" x14ac:dyDescent="0.3">
      <c r="A28" s="38" t="s">
        <v>68</v>
      </c>
      <c r="B28" s="3">
        <v>46232</v>
      </c>
      <c r="C28" s="24" t="s">
        <v>69</v>
      </c>
      <c r="D28" s="12">
        <v>6032000</v>
      </c>
      <c r="E28" s="13" t="s">
        <v>67</v>
      </c>
      <c r="F28" s="4" t="s">
        <v>5</v>
      </c>
      <c r="G28" s="4"/>
      <c r="H28" s="45"/>
    </row>
    <row r="29" spans="1:13" ht="57.6" x14ac:dyDescent="0.3">
      <c r="A29" s="38" t="s">
        <v>70</v>
      </c>
      <c r="B29" s="3">
        <v>46232</v>
      </c>
      <c r="C29" s="24" t="s">
        <v>78</v>
      </c>
      <c r="D29" s="12"/>
      <c r="E29" s="13" t="s">
        <v>71</v>
      </c>
      <c r="F29" s="4" t="s">
        <v>5</v>
      </c>
      <c r="G29" s="4"/>
      <c r="H29" s="45"/>
    </row>
    <row r="30" spans="1:13" ht="57.6" x14ac:dyDescent="0.3">
      <c r="A30" s="38" t="s">
        <v>75</v>
      </c>
      <c r="B30" s="3">
        <v>46233</v>
      </c>
      <c r="C30" s="24" t="s">
        <v>76</v>
      </c>
      <c r="D30" s="12">
        <v>290000</v>
      </c>
      <c r="E30" s="13" t="s">
        <v>112</v>
      </c>
      <c r="F30" s="4" t="s">
        <v>5</v>
      </c>
      <c r="G30" s="4"/>
      <c r="H30" s="45"/>
    </row>
    <row r="31" spans="1:13" ht="28.8" x14ac:dyDescent="0.3">
      <c r="A31" s="38" t="s">
        <v>113</v>
      </c>
      <c r="B31" s="3">
        <v>46234</v>
      </c>
      <c r="C31" s="24" t="s">
        <v>114</v>
      </c>
      <c r="D31" s="12">
        <v>330200</v>
      </c>
      <c r="E31" s="13" t="s">
        <v>51</v>
      </c>
      <c r="F31" s="4" t="s">
        <v>5</v>
      </c>
      <c r="G31" s="4"/>
      <c r="H31" s="45"/>
    </row>
    <row r="32" spans="1:13" ht="57.6" x14ac:dyDescent="0.3">
      <c r="A32" s="38" t="s">
        <v>79</v>
      </c>
      <c r="B32" s="3">
        <v>46234</v>
      </c>
      <c r="C32" s="24" t="s">
        <v>80</v>
      </c>
      <c r="D32" s="12">
        <v>304262.46000000002</v>
      </c>
      <c r="E32" s="13" t="s">
        <v>81</v>
      </c>
      <c r="F32" s="4" t="s">
        <v>5</v>
      </c>
      <c r="G32" s="4"/>
      <c r="H32" s="45"/>
    </row>
    <row r="33" spans="1:8" ht="43.2" x14ac:dyDescent="0.3">
      <c r="A33" s="38" t="s">
        <v>110</v>
      </c>
      <c r="B33" s="3">
        <v>46234</v>
      </c>
      <c r="C33" s="24" t="s">
        <v>111</v>
      </c>
      <c r="D33" s="12">
        <v>160000</v>
      </c>
      <c r="E33" s="13" t="s">
        <v>112</v>
      </c>
      <c r="F33" s="4"/>
      <c r="G33" s="4"/>
      <c r="H33" s="45"/>
    </row>
    <row r="34" spans="1:8" ht="57.6" x14ac:dyDescent="0.3">
      <c r="A34" s="38" t="s">
        <v>82</v>
      </c>
      <c r="B34" s="3">
        <v>46237</v>
      </c>
      <c r="C34" s="24" t="s">
        <v>84</v>
      </c>
      <c r="D34" s="12">
        <v>3120000</v>
      </c>
      <c r="E34" s="13" t="s">
        <v>86</v>
      </c>
      <c r="F34" s="4" t="s">
        <v>5</v>
      </c>
      <c r="G34" s="4"/>
      <c r="H34" s="45"/>
    </row>
    <row r="35" spans="1:8" ht="57.6" x14ac:dyDescent="0.3">
      <c r="A35" s="38" t="s">
        <v>83</v>
      </c>
      <c r="B35" s="7">
        <v>46237</v>
      </c>
      <c r="C35" s="24" t="s">
        <v>85</v>
      </c>
      <c r="D35" s="12">
        <v>3120000</v>
      </c>
      <c r="E35" s="13" t="s">
        <v>87</v>
      </c>
      <c r="F35" s="4" t="s">
        <v>5</v>
      </c>
      <c r="G35" s="4"/>
      <c r="H35" s="45"/>
    </row>
    <row r="36" spans="1:8" ht="57.6" x14ac:dyDescent="0.3">
      <c r="A36" s="38" t="s">
        <v>88</v>
      </c>
      <c r="B36" s="7">
        <v>46237</v>
      </c>
      <c r="C36" s="24" t="s">
        <v>89</v>
      </c>
      <c r="D36" s="12">
        <v>1292567</v>
      </c>
      <c r="E36" s="13" t="s">
        <v>90</v>
      </c>
      <c r="F36" s="4" t="s">
        <v>5</v>
      </c>
      <c r="G36" s="4"/>
      <c r="H36" s="45"/>
    </row>
    <row r="37" spans="1:8" ht="57.6" x14ac:dyDescent="0.3">
      <c r="A37" s="38" t="s">
        <v>194</v>
      </c>
      <c r="B37" s="3">
        <v>46238</v>
      </c>
      <c r="C37" s="24" t="s">
        <v>195</v>
      </c>
      <c r="D37" s="12">
        <v>1800000</v>
      </c>
      <c r="E37" s="13" t="s">
        <v>196</v>
      </c>
      <c r="F37" s="4" t="s">
        <v>5</v>
      </c>
      <c r="G37" s="4"/>
      <c r="H37" s="45"/>
    </row>
    <row r="38" spans="1:8" ht="57.6" x14ac:dyDescent="0.3">
      <c r="A38" s="38" t="s">
        <v>193</v>
      </c>
      <c r="B38" s="3">
        <v>46238</v>
      </c>
      <c r="C38" s="24" t="s">
        <v>197</v>
      </c>
      <c r="D38" s="12">
        <v>1500000</v>
      </c>
      <c r="E38" s="13" t="s">
        <v>196</v>
      </c>
      <c r="F38" s="4" t="s">
        <v>5</v>
      </c>
      <c r="G38" s="4"/>
      <c r="H38" s="45"/>
    </row>
    <row r="39" spans="1:8" ht="28.8" x14ac:dyDescent="0.3">
      <c r="A39" s="38" t="s">
        <v>92</v>
      </c>
      <c r="B39" s="3">
        <v>46239</v>
      </c>
      <c r="C39" s="24" t="s">
        <v>93</v>
      </c>
      <c r="D39" s="12">
        <v>1550047</v>
      </c>
      <c r="E39" s="13" t="s">
        <v>59</v>
      </c>
      <c r="F39" s="4" t="s">
        <v>5</v>
      </c>
      <c r="G39" s="4"/>
      <c r="H39" s="45"/>
    </row>
    <row r="40" spans="1:8" ht="28.8" x14ac:dyDescent="0.3">
      <c r="A40" s="38" t="s">
        <v>94</v>
      </c>
      <c r="B40" s="3">
        <v>46239</v>
      </c>
      <c r="C40" s="24" t="s">
        <v>95</v>
      </c>
      <c r="D40" s="12">
        <v>96309</v>
      </c>
      <c r="E40" s="13" t="s">
        <v>59</v>
      </c>
      <c r="F40" s="4" t="s">
        <v>5</v>
      </c>
      <c r="G40" s="4"/>
      <c r="H40" s="45"/>
    </row>
    <row r="41" spans="1:8" ht="28.8" x14ac:dyDescent="0.3">
      <c r="A41" s="38" t="s">
        <v>97</v>
      </c>
      <c r="B41" s="3">
        <v>46239</v>
      </c>
      <c r="C41" s="24" t="s">
        <v>96</v>
      </c>
      <c r="D41" s="12">
        <v>594500</v>
      </c>
      <c r="E41" s="13" t="s">
        <v>59</v>
      </c>
      <c r="F41" s="4" t="s">
        <v>5</v>
      </c>
      <c r="G41" s="4"/>
      <c r="H41" s="45"/>
    </row>
    <row r="42" spans="1:8" ht="43.2" x14ac:dyDescent="0.3">
      <c r="A42" s="38" t="s">
        <v>98</v>
      </c>
      <c r="B42" s="3">
        <v>46244</v>
      </c>
      <c r="C42" s="24" t="s">
        <v>99</v>
      </c>
      <c r="D42" s="12">
        <v>3715625</v>
      </c>
      <c r="E42" s="13" t="s">
        <v>100</v>
      </c>
      <c r="F42" s="4" t="s">
        <v>5</v>
      </c>
      <c r="G42" s="4" t="s">
        <v>6</v>
      </c>
      <c r="H42" s="45"/>
    </row>
    <row r="43" spans="1:8" ht="43.2" x14ac:dyDescent="0.3">
      <c r="A43" s="38" t="s">
        <v>101</v>
      </c>
      <c r="B43" s="3">
        <v>46244</v>
      </c>
      <c r="C43" s="24" t="s">
        <v>107</v>
      </c>
      <c r="D43" s="12">
        <v>832300</v>
      </c>
      <c r="E43" s="13" t="s">
        <v>100</v>
      </c>
      <c r="F43" s="4" t="s">
        <v>5</v>
      </c>
      <c r="G43" s="4" t="s">
        <v>6</v>
      </c>
      <c r="H43" s="45"/>
    </row>
    <row r="44" spans="1:8" ht="57.6" x14ac:dyDescent="0.3">
      <c r="A44" s="38" t="s">
        <v>198</v>
      </c>
      <c r="B44" s="3">
        <v>46244</v>
      </c>
      <c r="C44" s="24" t="s">
        <v>199</v>
      </c>
      <c r="D44" s="12">
        <v>1500000</v>
      </c>
      <c r="E44" s="13" t="s">
        <v>200</v>
      </c>
      <c r="F44" s="4" t="s">
        <v>5</v>
      </c>
      <c r="G44" s="4" t="s">
        <v>6</v>
      </c>
      <c r="H44" s="45"/>
    </row>
    <row r="45" spans="1:8" ht="43.2" x14ac:dyDescent="0.3">
      <c r="A45" s="38" t="s">
        <v>102</v>
      </c>
      <c r="B45" s="3">
        <v>46244</v>
      </c>
      <c r="C45" s="24" t="s">
        <v>108</v>
      </c>
      <c r="D45" s="12">
        <v>588555</v>
      </c>
      <c r="E45" s="13" t="s">
        <v>100</v>
      </c>
      <c r="F45" s="4" t="s">
        <v>5</v>
      </c>
      <c r="G45" s="4"/>
      <c r="H45" s="45"/>
    </row>
    <row r="46" spans="1:8" ht="57.6" x14ac:dyDescent="0.3">
      <c r="A46" s="38" t="s">
        <v>103</v>
      </c>
      <c r="B46" s="3">
        <v>46244</v>
      </c>
      <c r="C46" s="24" t="s">
        <v>109</v>
      </c>
      <c r="D46" s="12">
        <v>624225</v>
      </c>
      <c r="E46" s="13" t="s">
        <v>104</v>
      </c>
      <c r="F46" s="4" t="s">
        <v>5</v>
      </c>
      <c r="G46" s="4"/>
      <c r="H46" s="45"/>
    </row>
    <row r="47" spans="1:8" ht="57.6" x14ac:dyDescent="0.3">
      <c r="A47" s="38" t="s">
        <v>105</v>
      </c>
      <c r="B47" s="3">
        <v>46244</v>
      </c>
      <c r="C47" s="24" t="s">
        <v>129</v>
      </c>
      <c r="D47" s="12">
        <v>606390</v>
      </c>
      <c r="E47" s="13" t="s">
        <v>106</v>
      </c>
      <c r="F47" s="4" t="s">
        <v>5</v>
      </c>
      <c r="G47" s="4"/>
      <c r="H47" s="45"/>
    </row>
    <row r="48" spans="1:8" ht="57.6" x14ac:dyDescent="0.3">
      <c r="A48" s="38" t="s">
        <v>115</v>
      </c>
      <c r="B48" s="7">
        <v>46247</v>
      </c>
      <c r="C48" s="24" t="s">
        <v>127</v>
      </c>
      <c r="D48" s="29">
        <v>725000</v>
      </c>
      <c r="E48" s="30" t="s">
        <v>14</v>
      </c>
      <c r="F48" s="15" t="s">
        <v>5</v>
      </c>
      <c r="G48" s="15"/>
      <c r="H48" s="46"/>
    </row>
    <row r="49" spans="1:8" ht="43.2" x14ac:dyDescent="0.3">
      <c r="A49" s="38" t="s">
        <v>116</v>
      </c>
      <c r="B49" s="7">
        <v>46247</v>
      </c>
      <c r="C49" s="24" t="s">
        <v>128</v>
      </c>
      <c r="D49" s="12">
        <v>51289</v>
      </c>
      <c r="E49" s="13" t="s">
        <v>34</v>
      </c>
      <c r="F49" s="4" t="s">
        <v>5</v>
      </c>
      <c r="G49" s="4"/>
      <c r="H49" s="45"/>
    </row>
    <row r="50" spans="1:8" ht="100.8" x14ac:dyDescent="0.3">
      <c r="A50" s="38" t="s">
        <v>117</v>
      </c>
      <c r="B50" s="7">
        <v>46248</v>
      </c>
      <c r="C50" s="24" t="s">
        <v>141</v>
      </c>
      <c r="D50" s="12">
        <v>202130</v>
      </c>
      <c r="E50" s="17" t="s">
        <v>118</v>
      </c>
      <c r="F50" s="4" t="s">
        <v>5</v>
      </c>
      <c r="G50" s="4"/>
      <c r="H50" s="45"/>
    </row>
    <row r="51" spans="1:8" ht="57.6" x14ac:dyDescent="0.3">
      <c r="A51" s="38" t="s">
        <v>125</v>
      </c>
      <c r="B51" s="7">
        <v>46248</v>
      </c>
      <c r="C51" s="24" t="s">
        <v>130</v>
      </c>
      <c r="D51" s="12">
        <v>5756543</v>
      </c>
      <c r="E51" s="17" t="s">
        <v>118</v>
      </c>
      <c r="F51" s="4"/>
      <c r="G51" s="4"/>
      <c r="H51" s="45"/>
    </row>
    <row r="52" spans="1:8" ht="86.4" x14ac:dyDescent="0.3">
      <c r="A52" s="38" t="s">
        <v>126</v>
      </c>
      <c r="B52" s="7">
        <v>46248</v>
      </c>
      <c r="C52" s="24" t="s">
        <v>131</v>
      </c>
      <c r="D52" s="12">
        <v>6182800</v>
      </c>
      <c r="E52" s="17" t="s">
        <v>118</v>
      </c>
      <c r="F52" s="4"/>
      <c r="G52" s="4"/>
      <c r="H52" s="45"/>
    </row>
    <row r="53" spans="1:8" ht="72" x14ac:dyDescent="0.3">
      <c r="A53" s="38" t="s">
        <v>120</v>
      </c>
      <c r="B53" s="7">
        <v>46248</v>
      </c>
      <c r="C53" s="24" t="s">
        <v>119</v>
      </c>
      <c r="D53" s="12">
        <v>7499618</v>
      </c>
      <c r="E53" s="17" t="s">
        <v>118</v>
      </c>
      <c r="F53" s="4"/>
      <c r="G53" s="4"/>
      <c r="H53" s="45"/>
    </row>
    <row r="54" spans="1:8" ht="86.4" x14ac:dyDescent="0.3">
      <c r="A54" s="38" t="s">
        <v>121</v>
      </c>
      <c r="B54" s="7">
        <v>46248</v>
      </c>
      <c r="C54" s="24" t="s">
        <v>122</v>
      </c>
      <c r="D54" s="12">
        <v>7303433</v>
      </c>
      <c r="E54" s="17" t="s">
        <v>118</v>
      </c>
      <c r="F54" s="4"/>
      <c r="G54" s="4"/>
      <c r="H54" s="45"/>
    </row>
    <row r="55" spans="1:8" ht="72" x14ac:dyDescent="0.3">
      <c r="A55" s="38" t="s">
        <v>123</v>
      </c>
      <c r="B55" s="7">
        <v>46248</v>
      </c>
      <c r="C55" s="24" t="s">
        <v>132</v>
      </c>
      <c r="D55" s="12">
        <v>6836750</v>
      </c>
      <c r="E55" s="17" t="s">
        <v>118</v>
      </c>
      <c r="F55" s="4"/>
      <c r="G55" s="4"/>
      <c r="H55" s="45"/>
    </row>
    <row r="56" spans="1:8" ht="115.2" x14ac:dyDescent="0.3">
      <c r="A56" s="38" t="s">
        <v>124</v>
      </c>
      <c r="B56" s="7">
        <v>46248</v>
      </c>
      <c r="C56" s="24" t="s">
        <v>133</v>
      </c>
      <c r="D56" s="12">
        <v>5826100</v>
      </c>
      <c r="E56" s="17" t="s">
        <v>118</v>
      </c>
      <c r="F56" s="4"/>
      <c r="G56" s="4"/>
      <c r="H56" s="45"/>
    </row>
    <row r="57" spans="1:8" ht="86.4" x14ac:dyDescent="0.3">
      <c r="A57" s="38" t="s">
        <v>134</v>
      </c>
      <c r="B57" s="7">
        <v>46248</v>
      </c>
      <c r="C57" s="24" t="s">
        <v>135</v>
      </c>
      <c r="D57" s="12">
        <v>8294342</v>
      </c>
      <c r="E57" s="17" t="s">
        <v>118</v>
      </c>
      <c r="F57" s="4"/>
      <c r="G57" s="4"/>
      <c r="H57" s="45"/>
    </row>
    <row r="58" spans="1:8" ht="72" x14ac:dyDescent="0.3">
      <c r="A58" s="38" t="s">
        <v>136</v>
      </c>
      <c r="B58" s="7">
        <v>46248</v>
      </c>
      <c r="C58" s="24" t="s">
        <v>137</v>
      </c>
      <c r="D58" s="12">
        <v>9018684</v>
      </c>
      <c r="E58" s="17" t="s">
        <v>118</v>
      </c>
      <c r="F58" s="4"/>
      <c r="G58" s="4"/>
      <c r="H58" s="45"/>
    </row>
    <row r="59" spans="1:8" ht="86.4" x14ac:dyDescent="0.3">
      <c r="A59" s="38" t="s">
        <v>138</v>
      </c>
      <c r="B59" s="7">
        <v>46248</v>
      </c>
      <c r="C59" s="24" t="s">
        <v>139</v>
      </c>
      <c r="D59" s="12">
        <v>9274200</v>
      </c>
      <c r="E59" s="17" t="s">
        <v>118</v>
      </c>
      <c r="F59" s="4"/>
      <c r="G59" s="4"/>
      <c r="H59" s="45"/>
    </row>
    <row r="60" spans="1:8" ht="100.8" x14ac:dyDescent="0.3">
      <c r="A60" s="38" t="s">
        <v>140</v>
      </c>
      <c r="B60" s="7">
        <v>46248</v>
      </c>
      <c r="C60" s="24" t="s">
        <v>142</v>
      </c>
      <c r="D60" s="12">
        <v>7342075</v>
      </c>
      <c r="E60" s="17" t="s">
        <v>118</v>
      </c>
      <c r="F60" s="4"/>
      <c r="G60" s="4"/>
      <c r="H60" s="45"/>
    </row>
    <row r="61" spans="1:8" ht="86.4" x14ac:dyDescent="0.3">
      <c r="A61" s="38" t="s">
        <v>143</v>
      </c>
      <c r="B61" s="7">
        <v>46248</v>
      </c>
      <c r="C61" s="24" t="s">
        <v>144</v>
      </c>
      <c r="D61" s="12">
        <v>8458689</v>
      </c>
      <c r="E61" s="17" t="s">
        <v>118</v>
      </c>
      <c r="F61" s="4"/>
      <c r="G61" s="4"/>
      <c r="H61" s="45"/>
    </row>
    <row r="62" spans="1:8" ht="43.2" x14ac:dyDescent="0.3">
      <c r="A62" s="38" t="s">
        <v>145</v>
      </c>
      <c r="B62" s="7">
        <v>46248</v>
      </c>
      <c r="C62" s="24" t="s">
        <v>146</v>
      </c>
      <c r="D62" s="12">
        <v>6553200</v>
      </c>
      <c r="E62" s="17" t="s">
        <v>118</v>
      </c>
      <c r="F62" s="4"/>
      <c r="G62" s="4"/>
      <c r="H62" s="45"/>
    </row>
    <row r="63" spans="1:8" ht="72" x14ac:dyDescent="0.3">
      <c r="A63" s="38" t="s">
        <v>147</v>
      </c>
      <c r="B63" s="7">
        <v>46248</v>
      </c>
      <c r="C63" s="24" t="s">
        <v>148</v>
      </c>
      <c r="D63" s="12">
        <v>6669291</v>
      </c>
      <c r="E63" s="17" t="s">
        <v>118</v>
      </c>
      <c r="F63" s="4"/>
      <c r="G63" s="4"/>
      <c r="H63" s="45"/>
    </row>
    <row r="64" spans="1:8" ht="129.6" x14ac:dyDescent="0.3">
      <c r="A64" s="38" t="s">
        <v>149</v>
      </c>
      <c r="B64" s="7">
        <v>46248</v>
      </c>
      <c r="C64" s="24" t="s">
        <v>150</v>
      </c>
      <c r="D64" s="12">
        <v>8615494</v>
      </c>
      <c r="E64" s="17" t="s">
        <v>118</v>
      </c>
      <c r="F64" s="4"/>
      <c r="G64" s="4"/>
      <c r="H64" s="45"/>
    </row>
    <row r="65" spans="1:8" ht="43.2" x14ac:dyDescent="0.3">
      <c r="A65" s="38" t="s">
        <v>151</v>
      </c>
      <c r="B65" s="7">
        <v>46248</v>
      </c>
      <c r="C65" s="24" t="s">
        <v>152</v>
      </c>
      <c r="D65" s="12">
        <v>9861566</v>
      </c>
      <c r="E65" s="17" t="s">
        <v>118</v>
      </c>
      <c r="F65" s="4"/>
      <c r="G65" s="4"/>
      <c r="H65" s="45"/>
    </row>
    <row r="66" spans="1:8" ht="43.2" x14ac:dyDescent="0.3">
      <c r="A66" s="38" t="s">
        <v>153</v>
      </c>
      <c r="B66" s="7">
        <v>46248</v>
      </c>
      <c r="C66" s="24" t="s">
        <v>154</v>
      </c>
      <c r="D66" s="12">
        <v>4253647</v>
      </c>
      <c r="E66" s="17" t="s">
        <v>118</v>
      </c>
      <c r="F66" s="4"/>
      <c r="G66" s="4"/>
      <c r="H66" s="45"/>
    </row>
    <row r="67" spans="1:8" ht="72" x14ac:dyDescent="0.3">
      <c r="A67" s="38" t="s">
        <v>155</v>
      </c>
      <c r="B67" s="7">
        <v>46248</v>
      </c>
      <c r="C67" s="24" t="s">
        <v>156</v>
      </c>
      <c r="D67" s="12">
        <v>7728500</v>
      </c>
      <c r="E67" s="17" t="s">
        <v>118</v>
      </c>
      <c r="F67" s="4"/>
      <c r="G67" s="4"/>
      <c r="H67" s="45"/>
    </row>
    <row r="68" spans="1:8" ht="100.8" x14ac:dyDescent="0.3">
      <c r="A68" s="38" t="s">
        <v>157</v>
      </c>
      <c r="B68" s="7">
        <v>46248</v>
      </c>
      <c r="C68" s="24" t="s">
        <v>158</v>
      </c>
      <c r="D68" s="12">
        <v>9422825</v>
      </c>
      <c r="E68" s="17" t="s">
        <v>118</v>
      </c>
      <c r="F68" s="4"/>
      <c r="G68" s="4"/>
      <c r="H68" s="45"/>
    </row>
    <row r="69" spans="1:8" ht="72" x14ac:dyDescent="0.3">
      <c r="A69" s="38" t="s">
        <v>159</v>
      </c>
      <c r="B69" s="7">
        <v>46248</v>
      </c>
      <c r="C69" s="24" t="s">
        <v>160</v>
      </c>
      <c r="D69" s="12">
        <v>8251660</v>
      </c>
      <c r="E69" s="17" t="s">
        <v>118</v>
      </c>
      <c r="F69" s="4"/>
      <c r="G69" s="4"/>
      <c r="H69" s="45"/>
    </row>
    <row r="70" spans="1:8" ht="86.4" x14ac:dyDescent="0.3">
      <c r="A70" s="39" t="s">
        <v>161</v>
      </c>
      <c r="B70" s="7">
        <v>46248</v>
      </c>
      <c r="C70" s="32" t="s">
        <v>162</v>
      </c>
      <c r="D70" s="29">
        <v>3749395</v>
      </c>
      <c r="E70" s="17" t="s">
        <v>118</v>
      </c>
      <c r="F70" s="15"/>
      <c r="G70" s="15"/>
      <c r="H70" s="46"/>
    </row>
    <row r="71" spans="1:8" ht="86.4" x14ac:dyDescent="0.3">
      <c r="A71" s="39" t="s">
        <v>174</v>
      </c>
      <c r="B71" s="14">
        <v>46253</v>
      </c>
      <c r="C71" s="32" t="s">
        <v>191</v>
      </c>
      <c r="D71" s="29">
        <v>2306660</v>
      </c>
      <c r="E71" s="33" t="s">
        <v>14</v>
      </c>
      <c r="F71" s="15"/>
      <c r="G71" s="15"/>
      <c r="H71" s="46"/>
    </row>
    <row r="72" spans="1:8" ht="28.8" x14ac:dyDescent="0.3">
      <c r="A72" s="39" t="s">
        <v>175</v>
      </c>
      <c r="B72" s="14">
        <v>46253</v>
      </c>
      <c r="C72" s="32" t="s">
        <v>230</v>
      </c>
      <c r="D72" s="29">
        <v>8944000</v>
      </c>
      <c r="E72" s="33" t="s">
        <v>14</v>
      </c>
      <c r="F72" s="15"/>
      <c r="G72" s="15"/>
      <c r="H72" s="46"/>
    </row>
    <row r="73" spans="1:8" ht="43.2" x14ac:dyDescent="0.3">
      <c r="A73" s="39" t="s">
        <v>171</v>
      </c>
      <c r="B73" s="14">
        <v>46253</v>
      </c>
      <c r="C73" s="32" t="s">
        <v>172</v>
      </c>
      <c r="D73" s="29">
        <v>55824</v>
      </c>
      <c r="E73" s="33" t="s">
        <v>173</v>
      </c>
      <c r="F73" s="4" t="s">
        <v>5</v>
      </c>
      <c r="G73" s="15"/>
      <c r="H73" s="46"/>
    </row>
    <row r="74" spans="1:8" ht="57.6" x14ac:dyDescent="0.3">
      <c r="A74" s="39" t="s">
        <v>176</v>
      </c>
      <c r="B74" s="14">
        <v>46253</v>
      </c>
      <c r="C74" s="32" t="s">
        <v>179</v>
      </c>
      <c r="D74" s="29">
        <v>340000</v>
      </c>
      <c r="E74" s="33" t="s">
        <v>177</v>
      </c>
      <c r="F74" s="4" t="s">
        <v>5</v>
      </c>
      <c r="G74" s="15"/>
      <c r="H74" s="46"/>
    </row>
    <row r="75" spans="1:8" ht="57.6" x14ac:dyDescent="0.3">
      <c r="A75" s="39" t="s">
        <v>178</v>
      </c>
      <c r="B75" s="14">
        <v>46253</v>
      </c>
      <c r="C75" s="32" t="s">
        <v>184</v>
      </c>
      <c r="D75" s="29">
        <v>340000</v>
      </c>
      <c r="E75" s="33" t="s">
        <v>177</v>
      </c>
      <c r="F75" s="4" t="s">
        <v>5</v>
      </c>
      <c r="G75" s="15"/>
      <c r="H75" s="46"/>
    </row>
    <row r="76" spans="1:8" ht="57.6" x14ac:dyDescent="0.3">
      <c r="A76" s="39" t="s">
        <v>180</v>
      </c>
      <c r="B76" s="14">
        <v>46253</v>
      </c>
      <c r="C76" s="32" t="s">
        <v>185</v>
      </c>
      <c r="D76" s="29">
        <v>340000</v>
      </c>
      <c r="E76" s="33" t="s">
        <v>177</v>
      </c>
      <c r="F76" s="4" t="s">
        <v>5</v>
      </c>
      <c r="G76" s="15"/>
      <c r="H76" s="46"/>
    </row>
    <row r="77" spans="1:8" ht="57.6" x14ac:dyDescent="0.3">
      <c r="A77" s="53" t="s">
        <v>181</v>
      </c>
      <c r="B77" s="7">
        <v>46253</v>
      </c>
      <c r="C77" s="24" t="s">
        <v>186</v>
      </c>
      <c r="D77" s="12">
        <v>340000</v>
      </c>
      <c r="E77" s="17" t="s">
        <v>177</v>
      </c>
      <c r="F77" s="4" t="s">
        <v>5</v>
      </c>
      <c r="G77" s="4"/>
      <c r="H77" s="5"/>
    </row>
    <row r="78" spans="1:8" ht="57.6" x14ac:dyDescent="0.3">
      <c r="A78" s="53" t="s">
        <v>182</v>
      </c>
      <c r="B78" s="7">
        <v>46253</v>
      </c>
      <c r="C78" s="24" t="s">
        <v>187</v>
      </c>
      <c r="D78" s="12">
        <v>340000</v>
      </c>
      <c r="E78" s="17" t="s">
        <v>177</v>
      </c>
      <c r="F78" s="4" t="s">
        <v>5</v>
      </c>
      <c r="G78" s="4"/>
      <c r="H78" s="5"/>
    </row>
    <row r="79" spans="1:8" ht="57.6" x14ac:dyDescent="0.3">
      <c r="A79" s="39" t="s">
        <v>183</v>
      </c>
      <c r="B79" s="14">
        <v>46253</v>
      </c>
      <c r="C79" s="32" t="s">
        <v>188</v>
      </c>
      <c r="D79" s="29">
        <v>340000</v>
      </c>
      <c r="E79" s="33" t="s">
        <v>177</v>
      </c>
      <c r="F79" s="4" t="s">
        <v>5</v>
      </c>
      <c r="G79" s="15"/>
      <c r="H79" s="46"/>
    </row>
    <row r="80" spans="1:8" ht="57.6" x14ac:dyDescent="0.3">
      <c r="A80" s="39" t="s">
        <v>189</v>
      </c>
      <c r="B80" s="14">
        <v>46253</v>
      </c>
      <c r="C80" s="32" t="s">
        <v>190</v>
      </c>
      <c r="D80" s="29">
        <v>340000</v>
      </c>
      <c r="E80" s="33" t="s">
        <v>177</v>
      </c>
      <c r="F80" s="4" t="s">
        <v>5</v>
      </c>
      <c r="G80" s="15"/>
      <c r="H80" s="46"/>
    </row>
    <row r="81" spans="1:8" ht="57.6" x14ac:dyDescent="0.3">
      <c r="A81" s="39" t="s">
        <v>211</v>
      </c>
      <c r="B81" s="14">
        <v>46255</v>
      </c>
      <c r="C81" s="32" t="s">
        <v>212</v>
      </c>
      <c r="D81" s="29">
        <v>3120000</v>
      </c>
      <c r="E81" s="33" t="s">
        <v>86</v>
      </c>
      <c r="F81" s="15" t="s">
        <v>5</v>
      </c>
      <c r="G81" s="15"/>
      <c r="H81" s="46"/>
    </row>
    <row r="82" spans="1:8" ht="86.4" x14ac:dyDescent="0.3">
      <c r="A82" s="39" t="s">
        <v>203</v>
      </c>
      <c r="B82" s="14">
        <v>46255</v>
      </c>
      <c r="C82" s="32" t="s">
        <v>204</v>
      </c>
      <c r="D82" s="29">
        <v>1035000</v>
      </c>
      <c r="E82" s="33" t="s">
        <v>73</v>
      </c>
      <c r="F82" s="15" t="s">
        <v>5</v>
      </c>
      <c r="G82" s="15"/>
      <c r="H82" s="46"/>
    </row>
    <row r="83" spans="1:8" ht="115.2" x14ac:dyDescent="0.3">
      <c r="A83" s="39" t="s">
        <v>218</v>
      </c>
      <c r="B83" s="14">
        <v>46258</v>
      </c>
      <c r="C83" s="32" t="s">
        <v>219</v>
      </c>
      <c r="D83" s="29">
        <v>6032000</v>
      </c>
      <c r="E83" s="33" t="s">
        <v>67</v>
      </c>
      <c r="F83" s="15" t="s">
        <v>5</v>
      </c>
      <c r="G83" s="15"/>
      <c r="H83" s="46"/>
    </row>
    <row r="84" spans="1:8" ht="43.2" x14ac:dyDescent="0.3">
      <c r="A84" s="39" t="s">
        <v>213</v>
      </c>
      <c r="B84" s="14">
        <v>46258</v>
      </c>
      <c r="C84" s="32" t="s">
        <v>214</v>
      </c>
      <c r="D84" s="29">
        <v>75000</v>
      </c>
      <c r="E84" s="33" t="s">
        <v>215</v>
      </c>
      <c r="F84" s="15" t="s">
        <v>5</v>
      </c>
      <c r="G84" s="15"/>
      <c r="H84" s="46"/>
    </row>
    <row r="85" spans="1:8" ht="43.2" x14ac:dyDescent="0.3">
      <c r="A85" s="39" t="s">
        <v>216</v>
      </c>
      <c r="B85" s="14">
        <v>46258</v>
      </c>
      <c r="C85" s="32" t="s">
        <v>217</v>
      </c>
      <c r="D85" s="29">
        <v>85000</v>
      </c>
      <c r="E85" s="33" t="s">
        <v>37</v>
      </c>
      <c r="F85" s="15" t="s">
        <v>5</v>
      </c>
      <c r="G85" s="15"/>
      <c r="H85" s="46"/>
    </row>
    <row r="86" spans="1:8" ht="43.2" x14ac:dyDescent="0.3">
      <c r="A86" s="39" t="s">
        <v>201</v>
      </c>
      <c r="B86" s="14">
        <v>46258</v>
      </c>
      <c r="C86" s="32" t="s">
        <v>202</v>
      </c>
      <c r="D86" s="29">
        <v>3565811</v>
      </c>
      <c r="E86" s="33" t="s">
        <v>90</v>
      </c>
      <c r="F86" s="15" t="s">
        <v>5</v>
      </c>
      <c r="G86" s="15"/>
      <c r="H86" s="46"/>
    </row>
    <row r="87" spans="1:8" ht="129.6" x14ac:dyDescent="0.3">
      <c r="A87" s="39" t="s">
        <v>220</v>
      </c>
      <c r="B87" s="14">
        <v>46258</v>
      </c>
      <c r="C87" s="32" t="s">
        <v>221</v>
      </c>
      <c r="D87" s="29">
        <v>3393000</v>
      </c>
      <c r="E87" s="33" t="s">
        <v>67</v>
      </c>
      <c r="F87" s="15" t="s">
        <v>5</v>
      </c>
      <c r="G87" s="15"/>
      <c r="H87" s="46"/>
    </row>
    <row r="88" spans="1:8" ht="28.8" x14ac:dyDescent="0.3">
      <c r="A88" s="39" t="s">
        <v>205</v>
      </c>
      <c r="B88" s="14">
        <v>46258</v>
      </c>
      <c r="C88" s="32" t="s">
        <v>206</v>
      </c>
      <c r="D88" s="29">
        <v>70000</v>
      </c>
      <c r="E88" s="33" t="s">
        <v>207</v>
      </c>
      <c r="F88" s="15" t="s">
        <v>5</v>
      </c>
      <c r="G88" s="15"/>
      <c r="H88" s="46"/>
    </row>
    <row r="89" spans="1:8" ht="43.2" x14ac:dyDescent="0.3">
      <c r="A89" s="39" t="s">
        <v>222</v>
      </c>
      <c r="B89" s="14">
        <v>46258</v>
      </c>
      <c r="C89" s="32" t="s">
        <v>223</v>
      </c>
      <c r="D89" s="29">
        <v>649294</v>
      </c>
      <c r="E89" s="33" t="s">
        <v>224</v>
      </c>
      <c r="F89" s="15" t="s">
        <v>5</v>
      </c>
      <c r="G89" s="15"/>
      <c r="H89" s="46"/>
    </row>
    <row r="90" spans="1:8" x14ac:dyDescent="0.3">
      <c r="A90" s="39" t="s">
        <v>229</v>
      </c>
      <c r="B90" s="14">
        <v>46258</v>
      </c>
      <c r="C90" s="32" t="s">
        <v>232</v>
      </c>
      <c r="D90" s="29">
        <v>1171607</v>
      </c>
      <c r="E90" s="33" t="s">
        <v>233</v>
      </c>
      <c r="F90" s="15" t="s">
        <v>5</v>
      </c>
      <c r="G90" s="15"/>
      <c r="H90" s="46"/>
    </row>
    <row r="91" spans="1:8" ht="28.8" x14ac:dyDescent="0.3">
      <c r="A91" s="39" t="s">
        <v>235</v>
      </c>
      <c r="B91" s="14">
        <v>46258</v>
      </c>
      <c r="C91" s="32" t="s">
        <v>236</v>
      </c>
      <c r="D91" s="29"/>
      <c r="E91" s="33"/>
      <c r="F91" s="15"/>
      <c r="G91" s="15"/>
      <c r="H91" s="46"/>
    </row>
    <row r="92" spans="1:8" ht="28.8" x14ac:dyDescent="0.3">
      <c r="A92" s="39" t="s">
        <v>234</v>
      </c>
      <c r="B92" s="14">
        <v>46258</v>
      </c>
      <c r="C92" s="32" t="s">
        <v>206</v>
      </c>
      <c r="D92" s="29">
        <v>60000</v>
      </c>
      <c r="E92" s="33" t="s">
        <v>207</v>
      </c>
      <c r="F92" s="15" t="s">
        <v>5</v>
      </c>
      <c r="G92" s="15"/>
      <c r="H92" s="46"/>
    </row>
    <row r="93" spans="1:8" ht="57.6" x14ac:dyDescent="0.3">
      <c r="A93" s="39" t="s">
        <v>226</v>
      </c>
      <c r="B93" s="14">
        <v>46259</v>
      </c>
      <c r="C93" s="32" t="s">
        <v>227</v>
      </c>
      <c r="D93" s="29">
        <v>247090</v>
      </c>
      <c r="E93" s="33" t="s">
        <v>228</v>
      </c>
      <c r="F93" s="15" t="s">
        <v>5</v>
      </c>
      <c r="G93" s="15"/>
      <c r="H93" s="46"/>
    </row>
    <row r="94" spans="1:8" x14ac:dyDescent="0.3">
      <c r="A94" s="39"/>
      <c r="B94" s="14"/>
      <c r="C94" s="32"/>
      <c r="D94" s="29"/>
      <c r="E94" s="33"/>
      <c r="F94" s="15"/>
      <c r="G94" s="15"/>
      <c r="H94" s="46"/>
    </row>
    <row r="95" spans="1:8" x14ac:dyDescent="0.3">
      <c r="A95" s="50" t="s">
        <v>48</v>
      </c>
      <c r="B95" s="51"/>
      <c r="C95" s="51"/>
      <c r="D95" s="52">
        <f>SUM(D6:D70)</f>
        <v>201630507.96000001</v>
      </c>
      <c r="E95" s="15"/>
      <c r="F95" s="15"/>
      <c r="G95" s="16"/>
      <c r="H95" s="46"/>
    </row>
    <row r="96" spans="1:8" x14ac:dyDescent="0.3">
      <c r="A96" s="39"/>
      <c r="B96" s="14"/>
      <c r="C96" s="32"/>
      <c r="D96" s="29"/>
      <c r="E96" s="33"/>
      <c r="F96" s="15"/>
      <c r="G96" s="15"/>
      <c r="H96" s="46"/>
    </row>
  </sheetData>
  <pageMargins left="0.25" right="0.25" top="0.75" bottom="0.75" header="0.3" footer="0.3"/>
  <pageSetup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FSP  FACTURE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2026-08-20T11:52:50Z</cp:lastPrinted>
  <dcterms:created xsi:type="dcterms:W3CDTF">2026-07-21T17:15:04Z</dcterms:created>
  <dcterms:modified xsi:type="dcterms:W3CDTF">2026-08-29T15:11:39Z</dcterms:modified>
</cp:coreProperties>
</file>