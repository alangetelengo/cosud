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7530" firstSheet="62" activeTab="63"/>
  </bookViews>
  <sheets>
    <sheet name="TELE CONGO" sheetId="1" r:id="rId1"/>
    <sheet name="AFCOM" sheetId="2" r:id="rId2"/>
    <sheet name="INC" sheetId="3" r:id="rId3"/>
    <sheet name="SOMAC" sheetId="5" r:id="rId4"/>
    <sheet name="SPORAFRIC" sheetId="7" r:id="rId5"/>
    <sheet name="DALPIVOT" sheetId="8" r:id="rId6"/>
    <sheet name="GPE-DLT" sheetId="97" r:id="rId7"/>
    <sheet name="ARDIA" sheetId="12" r:id="rId8"/>
    <sheet name="CONGO TELECOM" sheetId="16" r:id="rId9"/>
    <sheet name="NSIA" sheetId="11" r:id="rId10"/>
    <sheet name="HOP. TALANGAI" sheetId="14" r:id="rId11"/>
    <sheet name="HOP. REG. ARMEE" sheetId="15" r:id="rId12"/>
    <sheet name="HOP. MILITAIRE" sheetId="17" r:id="rId13"/>
    <sheet name="FCIE MAVRE" sheetId="100" r:id="rId14"/>
    <sheet name="FCIE CROIX DU SUD" sheetId="18" r:id="rId15"/>
    <sheet name="FCIE DAFFE" sheetId="19" r:id="rId16"/>
    <sheet name="DS" sheetId="20" r:id="rId17"/>
    <sheet name="OLALA" sheetId="21" r:id="rId18"/>
    <sheet name="ETS ND SCE" sheetId="22" r:id="rId19"/>
    <sheet name="BUROTOP IRIS" sheetId="50" r:id="rId20"/>
    <sheet name="Mr KOUKA " sheetId="23" r:id="rId21"/>
    <sheet name="LABO INJECTION" sheetId="24" r:id="rId22"/>
    <sheet name="ETS SYMPA" sheetId="25" r:id="rId23"/>
    <sheet name="MEGASTORE" sheetId="26" r:id="rId24"/>
    <sheet name="ORCA" sheetId="27" r:id="rId25"/>
    <sheet name="METRO DE LUXE" sheetId="28" r:id="rId26"/>
    <sheet name="MICROPLUS" sheetId="30" r:id="rId27"/>
    <sheet name="DRTV PN" sheetId="86" r:id="rId28"/>
    <sheet name="DRTV" sheetId="32" r:id="rId29"/>
    <sheet name="MCRTV" sheetId="85" r:id="rId30"/>
    <sheet name="BONNE NOUVELLE" sheetId="33" r:id="rId31"/>
    <sheet name="LIBTECH.EXE" sheetId="34" r:id="rId32"/>
    <sheet name="MANAGER HOR." sheetId="35" r:id="rId33"/>
    <sheet name="LES DEPECHES DE BZV" sheetId="73" r:id="rId34"/>
    <sheet name="ED. LES SOZO" sheetId="36" r:id="rId35"/>
    <sheet name="BUROTEC" sheetId="37" r:id="rId36"/>
    <sheet name="SUPER SONIC" sheetId="40" r:id="rId37"/>
    <sheet name="CARREFOUR" sheetId="72" r:id="rId38"/>
    <sheet name="EC" sheetId="41" r:id="rId39"/>
    <sheet name="Chanel MONGONGO" sheetId="65" r:id="rId40"/>
    <sheet name="SCHEKINAH" sheetId="42" r:id="rId41"/>
    <sheet name="STECH SERVICES" sheetId="43" r:id="rId42"/>
    <sheet name="ROSERAIE SCE" sheetId="44" r:id="rId43"/>
    <sheet name="POINT SYS CG" sheetId="45" r:id="rId44"/>
    <sheet name="UNITED CONGO" sheetId="47" r:id="rId45"/>
    <sheet name="CONGO INFORMATIQUE" sheetId="48" r:id="rId46"/>
    <sheet name="LABO NATIONALE" sheetId="51" r:id="rId47"/>
    <sheet name="MBOTE SHOP" sheetId="52" r:id="rId48"/>
    <sheet name="MASSANZAMBI" sheetId="53" r:id="rId49"/>
    <sheet name="MPC" sheetId="60" r:id="rId50"/>
    <sheet name="COMPU-STORE" sheetId="54" r:id="rId51"/>
    <sheet name="GAR-AUTOLOGIC" sheetId="55" r:id="rId52"/>
    <sheet name="AUTO MOBILE " sheetId="56" r:id="rId53"/>
    <sheet name="ETS HANA FRED" sheetId="61" r:id="rId54"/>
    <sheet name="ETS BRISCO" sheetId="62" r:id="rId55"/>
    <sheet name="GAR. AUTO MONDIAL" sheetId="57" r:id="rId56"/>
    <sheet name="GAR. LABO INJECTION" sheetId="58" r:id="rId57"/>
    <sheet name="CARROSSERIE BAZAS" sheetId="59" r:id="rId58"/>
    <sheet name="BILLY SERVICES" sheetId="63" r:id="rId59"/>
    <sheet name="SOFT-RENOVATION" sheetId="64" r:id="rId60"/>
    <sheet name="CHRIST FROID" sheetId="66" r:id="rId61"/>
    <sheet name="STATION TOTAL" sheetId="67" r:id="rId62"/>
    <sheet name="PB SOLUTION" sheetId="68" r:id="rId63"/>
    <sheet name="E2C" sheetId="69" r:id="rId64"/>
    <sheet name="LCDE" sheetId="71" r:id="rId65"/>
    <sheet name="BL TECHNOLOGY" sheetId="74" r:id="rId66"/>
    <sheet name="BANAB TECH &amp; SCES" sheetId="75" r:id="rId67"/>
    <sheet name="IT-TECH" sheetId="76" r:id="rId68"/>
    <sheet name="CAPEL SCES" sheetId="77" r:id="rId69"/>
    <sheet name="SAFE-TECH" sheetId="80" r:id="rId70"/>
    <sheet name="SILICONE" sheetId="81" r:id="rId71"/>
    <sheet name="KUDIA" sheetId="82" r:id="rId72"/>
    <sheet name="KINGM" sheetId="83" r:id="rId73"/>
    <sheet name="BIANTOS AGENCY" sheetId="84" r:id="rId74"/>
    <sheet name="VISION2MZ" sheetId="87" r:id="rId75"/>
    <sheet name="ETS-DB" sheetId="89" r:id="rId76"/>
    <sheet name="GENYNE SCE" sheetId="90" r:id="rId77"/>
    <sheet name="GARDE REP." sheetId="91" r:id="rId78"/>
    <sheet name="GLENN SERVICES" sheetId="93" r:id="rId79"/>
    <sheet name="LAVAGE AUTO" sheetId="94" r:id="rId80"/>
    <sheet name="L'ASSOCIE" sheetId="95" r:id="rId81"/>
    <sheet name="CONSO PLUS" sheetId="98" r:id="rId82"/>
    <sheet name="MALONGA SCES" sheetId="99" r:id="rId83"/>
    <sheet name="AFRIQUE AUTOMOBILE" sheetId="101" r:id="rId84"/>
    <sheet name="ETS DIALLA AUTO" sheetId="102" r:id="rId85"/>
    <sheet name="PUMA" sheetId="104" r:id="rId86"/>
  </sheets>
  <definedNames>
    <definedName name="_xlnm.Print_Area" localSheetId="1">AFCOM!$A$1:$G$24</definedName>
    <definedName name="_xlnm.Print_Area" localSheetId="7">ARDIA!$A$1:$G$15</definedName>
    <definedName name="_xlnm.Print_Area" localSheetId="58">'BILLY SERVICES'!$A$1:$H$24</definedName>
    <definedName name="_xlnm.Print_Area" localSheetId="65">'BL TECHNOLOGY'!$A$1:$H$14</definedName>
    <definedName name="_xlnm.Print_Area" localSheetId="30">'BONNE NOUVELLE'!$A$1:$H$13</definedName>
    <definedName name="_xlnm.Print_Area" localSheetId="19">'BUROTOP IRIS'!$A$2:$H$13</definedName>
    <definedName name="_xlnm.Print_Area" localSheetId="37">CARREFOUR!$A$1:$H$9</definedName>
    <definedName name="_xlnm.Print_Area" localSheetId="60">'CHRIST FROID'!$A$1:$H$9</definedName>
    <definedName name="_xlnm.Print_Area" localSheetId="27">'DRTV PN'!$A$1:$H$10</definedName>
    <definedName name="_xlnm.Print_Area" localSheetId="16">DS!$A$1:$G$16</definedName>
    <definedName name="_xlnm.Print_Area" localSheetId="63">E2C!$A$1:$H$37</definedName>
    <definedName name="_xlnm.Print_Area" localSheetId="34">'ED. LES SOZO'!$A$1:$G$30</definedName>
    <definedName name="_xlnm.Print_Area" localSheetId="22">'ETS SYMPA'!$A$1:$H$11</definedName>
    <definedName name="_xlnm.Print_Area" localSheetId="75">'ETS-DB'!$A$1:$H$12</definedName>
    <definedName name="_xlnm.Print_Area" localSheetId="76">'GENYNE SCE'!$A$1:$G$7</definedName>
    <definedName name="_xlnm.Print_Area" localSheetId="6">'GPE-DLT'!$A$1:$H$39</definedName>
    <definedName name="_xlnm.Print_Area" localSheetId="12">'HOP. MILITAIRE'!$A$1:$H$16</definedName>
    <definedName name="_xlnm.Print_Area" localSheetId="10">'HOP. TALANGAI'!$A$1:$H$13</definedName>
    <definedName name="_xlnm.Print_Area" localSheetId="2">INC!$A$1:$G$9</definedName>
    <definedName name="_xlnm.Print_Area" localSheetId="71">KUDIA!$A$1:$G$47</definedName>
    <definedName name="_xlnm.Print_Area" localSheetId="21">'LABO INJECTION'!$A$1:$H$8</definedName>
    <definedName name="_xlnm.Print_Area" localSheetId="64">LCDE!$A$1:$G$20</definedName>
    <definedName name="_xlnm.Print_Area" localSheetId="26">MICROPLUS!$A$1:$G$26</definedName>
    <definedName name="_xlnm.Print_Area" localSheetId="9">NSIA!$A$1:$G$23</definedName>
    <definedName name="_xlnm.Print_Area" localSheetId="85">PUMA!$A$1:$H$10</definedName>
    <definedName name="_xlnm.Print_Area" localSheetId="42">'ROSERAIE SCE'!$A$1:$H$29</definedName>
    <definedName name="_xlnm.Print_Area" localSheetId="69">'SAFE-TECH'!$A$1:$F$12</definedName>
    <definedName name="_xlnm.Print_Area" localSheetId="40">SCHEKINAH!$A$1:$F$13</definedName>
    <definedName name="_xlnm.Print_Area" localSheetId="70">SILICONE!$A$1:$G$56</definedName>
    <definedName name="_xlnm.Print_Area" localSheetId="59">'SOFT-RENOVATION'!$A$1:$H$27</definedName>
    <definedName name="_xlnm.Print_Area" localSheetId="3">SOMAC!$A$1:$G$28</definedName>
    <definedName name="_xlnm.Print_Area" localSheetId="4">SPORAFRIC!$A$1:$G$36</definedName>
    <definedName name="_xlnm.Print_Area" localSheetId="41">'STECH SERVICES'!$A$1:$G$13</definedName>
    <definedName name="_xlnm.Print_Area" localSheetId="0">'TELE CONGO'!$A$1:$G$10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42" l="1"/>
  <c r="E9" i="100" l="1"/>
  <c r="E9" i="53"/>
  <c r="E9" i="48"/>
  <c r="E8" i="93"/>
  <c r="E10" i="60"/>
  <c r="E6" i="47"/>
  <c r="E9" i="43"/>
  <c r="E8" i="41"/>
  <c r="F11" i="32"/>
  <c r="E9" i="18"/>
  <c r="E14" i="44"/>
  <c r="E8" i="98" l="1"/>
  <c r="F29" i="97"/>
  <c r="F28" i="97"/>
  <c r="E9" i="54" l="1"/>
  <c r="F15" i="71" l="1"/>
  <c r="E12" i="36" l="1"/>
  <c r="F9" i="72"/>
  <c r="E9" i="40"/>
  <c r="F10" i="83" l="1"/>
  <c r="E9" i="84"/>
  <c r="E9" i="87"/>
  <c r="F12" i="89"/>
  <c r="E7" i="90"/>
  <c r="E8" i="95"/>
  <c r="F11" i="76"/>
  <c r="E7" i="91"/>
  <c r="E11" i="80"/>
  <c r="E9" i="77"/>
  <c r="E10" i="75"/>
  <c r="F8" i="74"/>
  <c r="F9" i="66"/>
  <c r="F20" i="64"/>
  <c r="F13" i="63"/>
  <c r="F10" i="45"/>
  <c r="F11" i="73" l="1"/>
  <c r="F10" i="35"/>
  <c r="F9" i="34"/>
  <c r="F12" i="33"/>
  <c r="F9" i="85"/>
  <c r="F9" i="86"/>
  <c r="E16" i="30"/>
  <c r="F11" i="27"/>
  <c r="F8" i="26"/>
  <c r="F7" i="24"/>
  <c r="F8" i="23"/>
  <c r="F13" i="21"/>
  <c r="F16" i="20"/>
  <c r="F9" i="19"/>
  <c r="F10" i="15"/>
  <c r="F9" i="14"/>
  <c r="F18" i="22"/>
  <c r="E14" i="12" l="1"/>
  <c r="E9" i="3"/>
  <c r="E7" i="1"/>
  <c r="E27" i="7"/>
  <c r="E9" i="42" l="1"/>
  <c r="F10" i="25"/>
  <c r="F10" i="17"/>
  <c r="E17" i="8" l="1"/>
</calcChain>
</file>

<file path=xl/sharedStrings.xml><?xml version="1.0" encoding="utf-8"?>
<sst xmlns="http://schemas.openxmlformats.org/spreadsheetml/2006/main" count="1834" uniqueCount="829">
  <si>
    <t>N°</t>
  </si>
  <si>
    <t>Statut du paiement</t>
  </si>
  <si>
    <t xml:space="preserve"> </t>
  </si>
  <si>
    <t>Factures</t>
  </si>
  <si>
    <t>Libellée</t>
  </si>
  <si>
    <t>Montant</t>
  </si>
  <si>
    <t xml:space="preserve"> Période</t>
  </si>
  <si>
    <t>Observations</t>
  </si>
  <si>
    <t>Fact N°0023</t>
  </si>
  <si>
    <t>Ouverture et clôture des sessions d'information 
en informatique aux jeunes agriculteurs de Liboka et d'Obouya</t>
  </si>
  <si>
    <t>Impression des supports de travail, en quadrichiomie sur papier toilé 80g (Format A4)</t>
  </si>
  <si>
    <t>Vente d'appareil électroménager</t>
  </si>
  <si>
    <t xml:space="preserve"> N°166/01/AFCOM/2026 
du 30/12/2025</t>
  </si>
  <si>
    <t xml:space="preserve"> N°167/02/AFCOM/2026 
du 21/01/2026</t>
  </si>
  <si>
    <t xml:space="preserve"> N°168/03/AFCOM/2026 
du 25/02/2026</t>
  </si>
  <si>
    <t xml:space="preserve"> N°169/04/AFCOM/2026 
du 01/04/2026</t>
  </si>
  <si>
    <t>Instruction DG</t>
  </si>
  <si>
    <t xml:space="preserve"> N°170/05/AFCOM/2026 
du 17/04/2026</t>
  </si>
  <si>
    <t xml:space="preserve"> N°171/06/AFCOM/2026 
du 15/05/2026</t>
  </si>
  <si>
    <t xml:space="preserve"> N°173/08/AFCOM/2026 
du 16/07/2026</t>
  </si>
  <si>
    <t xml:space="preserve">N° du contact : </t>
  </si>
  <si>
    <t>Date d'arrivée</t>
  </si>
  <si>
    <t>Gardiennage</t>
  </si>
  <si>
    <t>Gardiennage DG</t>
  </si>
  <si>
    <t xml:space="preserve">Periode </t>
  </si>
  <si>
    <t>FAC/2025/08623</t>
  </si>
  <si>
    <t>04/12/25 au 
31/01/2026</t>
  </si>
  <si>
    <t>23/12/2025 au 
31/12/2026</t>
  </si>
  <si>
    <t>FAC 2025/09128</t>
  </si>
  <si>
    <t>Entretien GE AKSA 22KVA 
NS: C1360757SA</t>
  </si>
  <si>
    <t>Entretien GE SDMO B165 
NS: 34LNGCLH0034</t>
  </si>
  <si>
    <t>23/12/2025 au 22/01/2026</t>
  </si>
  <si>
    <t>DEVIS</t>
  </si>
  <si>
    <t>Entretien GE B165 KVA 
NS: 34LNGCLH0034</t>
  </si>
  <si>
    <t>06/01/26 au 
28/02/2026</t>
  </si>
  <si>
    <t>FAC/2026/00047</t>
  </si>
  <si>
    <t>DEVIS 0144040</t>
  </si>
  <si>
    <t>Entretien GE AKSA 25 KVA 
NS: C1360757SA</t>
  </si>
  <si>
    <t>28/01/2026 au 
27/02/2026</t>
  </si>
  <si>
    <t>06/03/2026 au 
30/04/2026</t>
  </si>
  <si>
    <t>DEVIS 0149252</t>
  </si>
  <si>
    <t>Remplacement prefiltre + durité + collier
AKSA 22KVA Villa DG</t>
  </si>
  <si>
    <t>DEVIS 0139703</t>
  </si>
  <si>
    <t>FAC /2026/00046</t>
  </si>
  <si>
    <t>FAC/2026/01789</t>
  </si>
  <si>
    <t>Maintenance GE SDMO B165 
NS: 34LNGCLH0034</t>
  </si>
  <si>
    <t>FAC/2026/01787</t>
  </si>
  <si>
    <t>03/03/2026 au 
30/04/2026</t>
  </si>
  <si>
    <t>FAC/2026/01626</t>
  </si>
  <si>
    <t>Remplacement du support du filtre gasoil APD 25 KVA</t>
  </si>
  <si>
    <t>FAC/2026/01830</t>
  </si>
  <si>
    <t>23/04/2026 au 
23/05/2026</t>
  </si>
  <si>
    <t>DEVIS 0156383</t>
  </si>
  <si>
    <t>28/03/2026 au 27/04/2026</t>
  </si>
  <si>
    <t>DEVIS 0152752</t>
  </si>
  <si>
    <t xml:space="preserve">Réparation du GE AKSA APD25  
N° C13607575A
</t>
  </si>
  <si>
    <t>03/04/26 au 31/05/2026</t>
  </si>
  <si>
    <t>FAC/2026/02676</t>
  </si>
  <si>
    <t>FAC/2026/02636</t>
  </si>
  <si>
    <t>03/04/2026 au 31/05/2026</t>
  </si>
  <si>
    <t>04/05/2026 au 
30/06/2026</t>
  </si>
  <si>
    <t>FAC/2026/03479</t>
  </si>
  <si>
    <t>01/06/2026 au 
31/07/2026</t>
  </si>
  <si>
    <t>FAC/2026/04309</t>
  </si>
  <si>
    <t>06/07/2026 au 
31/08/2026</t>
  </si>
  <si>
    <t>FAC/2026/05271</t>
  </si>
  <si>
    <t>Ajout de splits (Montage et démontage)</t>
  </si>
  <si>
    <t xml:space="preserve">Démontage et démontage split </t>
  </si>
  <si>
    <t>Date</t>
  </si>
  <si>
    <t>Période</t>
  </si>
  <si>
    <t>PROF 013/GDLT/25</t>
  </si>
  <si>
    <t>Aménagement des bureaux du projet PDRCL-PN</t>
  </si>
  <si>
    <t>13/010/25</t>
  </si>
  <si>
    <t>PROF 011/GDLT/25</t>
  </si>
  <si>
    <t>PROF 0106/GDLT/26</t>
  </si>
  <si>
    <t>Renovation de la salle du projet CURS-PN</t>
  </si>
  <si>
    <t>PROF 010/GDLT/25</t>
  </si>
  <si>
    <t>Renovation de la salle des archives ACSI-PN</t>
  </si>
  <si>
    <t>PROF 0014/GDLT/25</t>
  </si>
  <si>
    <t>PROF 015/GDLT/25</t>
  </si>
  <si>
    <t>Renovation de la deuxième salle de formation ACSI-PN</t>
  </si>
  <si>
    <t>Renovation de la Première salle de formation ACSI-PN</t>
  </si>
  <si>
    <t>FACT 34/12/GDLT/25</t>
  </si>
  <si>
    <t>Aménagement des conteneurs</t>
  </si>
  <si>
    <t>FACT 0106/04/26</t>
  </si>
  <si>
    <t xml:space="preserve">Réparation du circuit élèctrique dans le bureau du DG </t>
  </si>
  <si>
    <t>FACT 044/GDLT/25</t>
  </si>
  <si>
    <t>Entretien de la toiture de la DSTF BVZ</t>
  </si>
  <si>
    <t>PROF 044/03/GDLT/26</t>
  </si>
  <si>
    <t>Aménagement de la guérite de la garde républicaine à la DG</t>
  </si>
  <si>
    <t>PROF 20/06/GDLT/26</t>
  </si>
  <si>
    <t xml:space="preserve">Aménagement pour la création d'un espace de travail pour les collaborateurs du DG </t>
  </si>
  <si>
    <t>Renovation de la salle du projet SIFEC ACSI-PN</t>
  </si>
  <si>
    <t>PROF 29/12/GDLT/25</t>
  </si>
  <si>
    <t>Facilitation de la circulation dans les couloir de l'agence à la DG en période de pluie (couverture tôle)</t>
  </si>
  <si>
    <t>PROF 28/12/GDLT/25</t>
  </si>
  <si>
    <t>Facilitation de la circulation dans les couloir de l'agence à la DG en période de pluie (renforcement de la dalle de la cour)</t>
  </si>
  <si>
    <t>PROF 24/12/GDLT/25</t>
  </si>
  <si>
    <t>Aménagement des bureaux de la PDRCL</t>
  </si>
  <si>
    <t>PROF 0104/GDLT/26</t>
  </si>
  <si>
    <t>Rénovation de la salle de maintenance ACSI-PN</t>
  </si>
  <si>
    <t>PROF 0105/GDLT/26</t>
  </si>
  <si>
    <t>Rénovation de la salle de réunion ACSI-PN</t>
  </si>
  <si>
    <t>PROF 017/GDLT/25</t>
  </si>
  <si>
    <t>Rénovation du bureau entrée salle serveur ACSI-PN</t>
  </si>
  <si>
    <t>PROF 23/12/GDLT/25</t>
  </si>
  <si>
    <t>Aménagement des bureaux du Chef de projet CURS</t>
  </si>
  <si>
    <t>FACT 27/12/GDLT/25</t>
  </si>
  <si>
    <t>Travaux de construction d'une passerelle dans la cour de l'ACSI-BZV</t>
  </si>
  <si>
    <t>PROF 13/GDLT/01/26</t>
  </si>
  <si>
    <t>Fourniture et installation des railles métallique dans l'armoire du chef de SRH - BZV</t>
  </si>
  <si>
    <t xml:space="preserve">Nom du prestataire : </t>
  </si>
  <si>
    <t xml:space="preserve">Nom du contact : </t>
  </si>
  <si>
    <t>01/01/2026 au 
31/01/2026</t>
  </si>
  <si>
    <t>LISTE OPS AGENTS ACSI</t>
  </si>
  <si>
    <t>01/02/2026 au 
28/02/2026</t>
  </si>
  <si>
    <t>01/04/2026 au 
30/04/2026</t>
  </si>
  <si>
    <t>01/03/2026 au 
30/03/2026</t>
  </si>
  <si>
    <t>01/07/2026 au 
31/07/2026</t>
  </si>
  <si>
    <t xml:space="preserve">Fonction du contact : </t>
  </si>
  <si>
    <t>Prestation mensuelle en infographie et design : Décembre 2025</t>
  </si>
  <si>
    <t>Réalisation de livret SIFEC</t>
  </si>
  <si>
    <t>Prestation mensuelle en infographie et communication : mars 2026</t>
  </si>
  <si>
    <t>Prestation mensuelle en infographie et communication : avril 2026</t>
  </si>
  <si>
    <t>01/01/2026 au 31/01/2026</t>
  </si>
  <si>
    <t>FACT F26020822790CT</t>
  </si>
  <si>
    <t>ABONNEMENT</t>
  </si>
  <si>
    <t>FACT F26030833023CT</t>
  </si>
  <si>
    <t>FACT F26000625CT</t>
  </si>
  <si>
    <t>REDEVENCE MENSUELLE</t>
  </si>
  <si>
    <t>FACT F26050869209CT</t>
  </si>
  <si>
    <t>26/04/2026 au 24/072026</t>
  </si>
  <si>
    <t>SPEED PRO 220 (1mois) 
Projet PDRCL-BZV</t>
  </si>
  <si>
    <t>RECU DE CAISSE F26046720224CT</t>
  </si>
  <si>
    <t>23/04/2026 au 21/07/2026</t>
  </si>
  <si>
    <t>SPEED PRO 220 (1mois) 
Projet CURS-BZV</t>
  </si>
  <si>
    <t>RECU DE CAISSE F26045720226CT</t>
  </si>
  <si>
    <t>28/04/2026 au 26/07/2026</t>
  </si>
  <si>
    <t>RECU DE CAISSE F26046720231CT</t>
  </si>
  <si>
    <t>SPEED PRO 220 (1mois) 
Projet PDRCL-PN</t>
  </si>
  <si>
    <t>01/06/2026 au 30/06/2026</t>
  </si>
  <si>
    <t>F26070906076CT</t>
  </si>
  <si>
    <t>FACT: 0062/DCSS/HRA/DAF/SF</t>
  </si>
  <si>
    <t>Consultations et divers examens</t>
  </si>
  <si>
    <t>FACTURE : 0134</t>
  </si>
  <si>
    <t>FACTURE : 0166</t>
  </si>
  <si>
    <t>Fevrier 2026</t>
  </si>
  <si>
    <t>Fourniture en médicaments</t>
  </si>
  <si>
    <t>Decembre 2025</t>
  </si>
  <si>
    <t>FACT : 4500</t>
  </si>
  <si>
    <t>FACT : 4621</t>
  </si>
  <si>
    <t>PROF 10120/2026</t>
  </si>
  <si>
    <t>DEVIS 10134/2026</t>
  </si>
  <si>
    <t>FACT 10185/2026</t>
  </si>
  <si>
    <t>FACT 10234/2026</t>
  </si>
  <si>
    <t>Acquisition  groupe électrogène PERKINS 30 KVA</t>
  </si>
  <si>
    <t>Achat matériel (ATS Control Box, Câble + accessoires)</t>
  </si>
  <si>
    <t>Achat matériel (Inverseur manuel, câble, achat carburant….)</t>
  </si>
  <si>
    <t>Achat matériel (air filter, fuel filter, oil filter, genuine)</t>
  </si>
  <si>
    <t>FACT 10256/2026</t>
  </si>
  <si>
    <t>FACT 10266/2026</t>
  </si>
  <si>
    <t>Acquisition groupe électrogène 15 KVA + béton de propreté + autres matériels</t>
  </si>
  <si>
    <t>FCT-PRS-14526002</t>
  </si>
  <si>
    <t>Prestation informatique sur le site internet, et autres</t>
  </si>
  <si>
    <t>FCT-PRS-14526003</t>
  </si>
  <si>
    <t>Janvier 2026</t>
  </si>
  <si>
    <t>Février 2026</t>
  </si>
  <si>
    <t>Mars 2026</t>
  </si>
  <si>
    <t>FCT-PRS-14526004</t>
  </si>
  <si>
    <t>Avril 2026</t>
  </si>
  <si>
    <t>FCT-PRS-14526005</t>
  </si>
  <si>
    <t>Mai 2026</t>
  </si>
  <si>
    <t>FCT-PRS-04626006</t>
  </si>
  <si>
    <t>Juin 2026</t>
  </si>
  <si>
    <t>FCT-PRS-04626007</t>
  </si>
  <si>
    <t>05/01/2006</t>
  </si>
  <si>
    <t>Acquisition matériel et consommable informatique</t>
  </si>
  <si>
    <t>Acquisition matériel informatique</t>
  </si>
  <si>
    <t>Acquisition photocopieur CanonIR2425i laser multifonction</t>
  </si>
  <si>
    <t>07/01/2026</t>
  </si>
  <si>
    <t>PROF N°07/ENDS</t>
  </si>
  <si>
    <t>PROF N°04/ENDS</t>
  </si>
  <si>
    <t>PROF N°09/ENDS</t>
  </si>
  <si>
    <t>PROF N°16/ENDS</t>
  </si>
  <si>
    <t>Acquisition table pour imprimante</t>
  </si>
  <si>
    <t>PROF N°41/ENDS</t>
  </si>
  <si>
    <t>PROF N°61/ENDS</t>
  </si>
  <si>
    <t>PROF N°65/ENDS</t>
  </si>
  <si>
    <t>Acquisition Plasma Smart 43 pouce</t>
  </si>
  <si>
    <t>23/03/2026</t>
  </si>
  <si>
    <t>10/01/2026</t>
  </si>
  <si>
    <t>20/02/2026</t>
  </si>
  <si>
    <t>PROF N°81/ENDS</t>
  </si>
  <si>
    <t>30/01/2026</t>
  </si>
  <si>
    <t>FACT N°08/08/2025</t>
  </si>
  <si>
    <t>Consultation juridique</t>
  </si>
  <si>
    <t>FACT N°09/09/2025</t>
  </si>
  <si>
    <t>11/04/2026</t>
  </si>
  <si>
    <t>FACT N°96</t>
  </si>
  <si>
    <t>Acquisition de Tarage de 03 injecteurs pour Mitsubishi L200, immatriculée 032GGQ4</t>
  </si>
  <si>
    <t>06/07/2026</t>
  </si>
  <si>
    <t>FACT N°063</t>
  </si>
  <si>
    <t>Reportage et montage de vidéos du voyage du DG (du 06 au 14 mars 2026)</t>
  </si>
  <si>
    <t>25/03/2026</t>
  </si>
  <si>
    <t>FACT N°062</t>
  </si>
  <si>
    <t>02/12/25</t>
  </si>
  <si>
    <t>FACT N°05</t>
  </si>
  <si>
    <t>Acquisition SAMSUNG Split 2CV AR18BV</t>
  </si>
  <si>
    <t>04/06/2026</t>
  </si>
  <si>
    <t>PROF N°0691314</t>
  </si>
  <si>
    <t>Acquisition meubles de bureau</t>
  </si>
  <si>
    <t>FACT N°0011</t>
  </si>
  <si>
    <t>Juillet 2026</t>
  </si>
  <si>
    <t>FACT N°0021</t>
  </si>
  <si>
    <t xml:space="preserve"> N°172/07/AFCOM/2026 
du 24/06/2026</t>
  </si>
  <si>
    <t>07/06/2026</t>
  </si>
  <si>
    <t xml:space="preserve">Adresse : </t>
  </si>
  <si>
    <t>DEV-MICT-2026-11-0010</t>
  </si>
  <si>
    <t>Acquisition matériel de stockage</t>
  </si>
  <si>
    <t>08/06/2026</t>
  </si>
  <si>
    <t>DEV-MICT-2026-12-0011</t>
  </si>
  <si>
    <t>Acquisition matériel Baie</t>
  </si>
  <si>
    <t>06/06/2026</t>
  </si>
  <si>
    <t>DEV-MICT-2026-12-0012</t>
  </si>
  <si>
    <t>Acquisition matériel réseau</t>
  </si>
  <si>
    <t>Acquisition matériel de sécurité (Firewall)</t>
  </si>
  <si>
    <t>DEV N°00120/MC-ICT/DG/2025</t>
  </si>
  <si>
    <t>Acquisition Serveur G11</t>
  </si>
  <si>
    <t>DEV-2026-01-0001</t>
  </si>
  <si>
    <t>Digital Backbone - Génération11</t>
  </si>
  <si>
    <t>DEV-MICT-2026-01-0008</t>
  </si>
  <si>
    <t>Fourniture d'un serveur HPE ProLiant DL380 Gen11-configuration de base</t>
  </si>
  <si>
    <t>JUIN 2026</t>
  </si>
  <si>
    <t>FACT N°0031</t>
  </si>
  <si>
    <t>FACT N°185/05/DG/26-</t>
  </si>
  <si>
    <t>Diffusion 02 Gazettes</t>
  </si>
  <si>
    <t>PROF N°156</t>
  </si>
  <si>
    <t>Acquisition matériels informatique</t>
  </si>
  <si>
    <t>PROF N°035</t>
  </si>
  <si>
    <t>Acquisition matériels élèctrique</t>
  </si>
  <si>
    <t>FACT N°00006/MH/25</t>
  </si>
  <si>
    <t>Publication d'une rubrique spéciale à la publication 550</t>
  </si>
  <si>
    <t>FACT N°0026/MH/26</t>
  </si>
  <si>
    <t>Publication d'une page spéciale à la publication 554</t>
  </si>
  <si>
    <t>FACT N°0182</t>
  </si>
  <si>
    <t xml:space="preserve">Location véhicule Hyundai Grand Starex </t>
  </si>
  <si>
    <t>FACT N°0184</t>
  </si>
  <si>
    <t>FACT N°0185</t>
  </si>
  <si>
    <t>FACT N°0187</t>
  </si>
  <si>
    <t>22/07/2026</t>
  </si>
  <si>
    <t>PROF N°S98805</t>
  </si>
  <si>
    <t>Acquisition fauteuil Président Chat - Mix cuir noir</t>
  </si>
  <si>
    <t>AOUT 2026</t>
  </si>
  <si>
    <t>21/07/2026</t>
  </si>
  <si>
    <t>PROF N°014077</t>
  </si>
  <si>
    <t>Acquisition SITI Présidential chair eeg low black</t>
  </si>
  <si>
    <t>Adresse : 05, Rue Jules Ferry - Immeuble OTTA Brazzaville</t>
  </si>
  <si>
    <t>1/10/2025</t>
  </si>
  <si>
    <t>Divers travaux de refectionnement salle de réunion</t>
  </si>
  <si>
    <t>FACT N°110/03/SEM/B&amp;E/2026</t>
  </si>
  <si>
    <t>Entretien trimestriel du jardin</t>
  </si>
  <si>
    <t>01/04/26 au 30/06/2026</t>
  </si>
  <si>
    <t>DEVIS N°0080/11/25</t>
  </si>
  <si>
    <t>Bon pour accord (15/07/26)</t>
  </si>
  <si>
    <t>18/11/2025</t>
  </si>
  <si>
    <t>DEVIS N°0081/11/25</t>
  </si>
  <si>
    <t>Acquisition pièces pour GE 40KVA FG WILSON</t>
  </si>
  <si>
    <t>20/04/2026</t>
  </si>
  <si>
    <t>FACT N°020-20/04/2026</t>
  </si>
  <si>
    <t>27/04/2026</t>
  </si>
  <si>
    <t>Location véhicule Prado TXL (Brazzaville)</t>
  </si>
  <si>
    <t>Location véhicule Prado TXL (Oyo)</t>
  </si>
  <si>
    <t>28/04/2026</t>
  </si>
  <si>
    <t>B</t>
  </si>
  <si>
    <t>Location véhicule Prado TXL (Du 18 au 20/07/2026)</t>
  </si>
  <si>
    <t>FACT N°020-20/07/2026</t>
  </si>
  <si>
    <t>Location véhicule HILUX VIGO (Du 18 au 19/07/2026)</t>
  </si>
  <si>
    <t>26/11/2026</t>
  </si>
  <si>
    <t>PROF N°2025815</t>
  </si>
  <si>
    <t>Acquisition écran tactile interactif signalétique et visio conférence et autres</t>
  </si>
  <si>
    <t>11/03/2026</t>
  </si>
  <si>
    <t>PROF N°820/T.A/2026</t>
  </si>
  <si>
    <t>Acquisition LAPTOT HP CORE i3 512G SSD/8G RAM 15"</t>
  </si>
  <si>
    <t>DEVIS N°</t>
  </si>
  <si>
    <t>Nom de la société : LABORATOIRE NATIONALE</t>
  </si>
  <si>
    <t>PROF N°013/2026</t>
  </si>
  <si>
    <t>19/03/2026</t>
  </si>
  <si>
    <t>Acquisition TPE (Appareil Android avec imprimante thermique incorporé)</t>
  </si>
  <si>
    <t>Acquisition urgente (19/03/06)</t>
  </si>
  <si>
    <t>FACT N°0041</t>
  </si>
  <si>
    <t>03/07/2026</t>
  </si>
  <si>
    <t>PROF N°087/026</t>
  </si>
  <si>
    <t>Reinitialisation du système soft</t>
  </si>
  <si>
    <t>FACTURE N°180</t>
  </si>
  <si>
    <t>Acquisition materièls informatique</t>
  </si>
  <si>
    <t>Nom de la société : GARAGE AUTOLOGIC</t>
  </si>
  <si>
    <t>Adresse : Avenue des AET en face de CNLS</t>
  </si>
  <si>
    <t>N° du contact : 05 598 22 22 - 05 654 22 22</t>
  </si>
  <si>
    <t>07/04/2026</t>
  </si>
  <si>
    <t>DEVIS N°06/GAL</t>
  </si>
  <si>
    <t>Bon pour accord (08/04/2026)</t>
  </si>
  <si>
    <t>Réparation véhicule HYUNDAI 775 UA 4</t>
  </si>
  <si>
    <t>08/04/2026</t>
  </si>
  <si>
    <t>PROF N°004762</t>
  </si>
  <si>
    <t xml:space="preserve">Acquisition de pièces de rechange </t>
  </si>
  <si>
    <t>09/04/2026</t>
  </si>
  <si>
    <t>FACTURE N°002527</t>
  </si>
  <si>
    <t>Bon pour accord (18/06/26)</t>
  </si>
  <si>
    <t>05/06/2026</t>
  </si>
  <si>
    <t>PROF N°004982</t>
  </si>
  <si>
    <t>27/06/2026</t>
  </si>
  <si>
    <t>PROF N°002002</t>
  </si>
  <si>
    <t>18/07/2026</t>
  </si>
  <si>
    <t>PROF N°002438</t>
  </si>
  <si>
    <t>Acquisition de pneu</t>
  </si>
  <si>
    <t xml:space="preserve">Réparation véhicule </t>
  </si>
  <si>
    <t>Nom de la société : GARAGE LABO INJECTION</t>
  </si>
  <si>
    <t>Adresse : 123, rue Kinkala Moungali</t>
  </si>
  <si>
    <t>N° du contact : 06 640 12 33 - 06 982 02 07</t>
  </si>
  <si>
    <t>FACTURE N°208</t>
  </si>
  <si>
    <t>Acquisition de pièces de rechange véhicule 901GDQ4</t>
  </si>
  <si>
    <t xml:space="preserve">Réparation véhicule Toyota Prado 901GDQ4 </t>
  </si>
  <si>
    <t>Nom de la société : CARROSSERIE BAZAS</t>
  </si>
  <si>
    <t>N° du contact : 06 632 73 14 - 05 547 78 80</t>
  </si>
  <si>
    <t xml:space="preserve">FACTURE </t>
  </si>
  <si>
    <t>05/01/2026</t>
  </si>
  <si>
    <t>PROFORMA N°PF26-159</t>
  </si>
  <si>
    <t>FACTURE N°58</t>
  </si>
  <si>
    <t>Réparation véhicule PRADO 901GDQ4</t>
  </si>
  <si>
    <t>23/07/2026</t>
  </si>
  <si>
    <t>PROF N°700159</t>
  </si>
  <si>
    <t>Acquisition chaises Directeurs en cuir</t>
  </si>
  <si>
    <t>27/07/2026</t>
  </si>
  <si>
    <t>Nom de la société : ETS HANA FRED</t>
  </si>
  <si>
    <t>Adresse : Avenue des 3 Martyrs - Moungali</t>
  </si>
  <si>
    <t>N° du contact : 06 678 01 88 - 05 578 01 88</t>
  </si>
  <si>
    <t>Nom de la société : ETS  BRISCO</t>
  </si>
  <si>
    <t>Adresse : 33, Avenue de l'OUA - Bacongo</t>
  </si>
  <si>
    <t>N° du contact : 04 228 19 66 15</t>
  </si>
  <si>
    <t>PROFORMA</t>
  </si>
  <si>
    <t>PROF N°003147</t>
  </si>
  <si>
    <t>Bon pour accord (27/07/26)</t>
  </si>
  <si>
    <t>FACT N°27/01/BS/2026</t>
  </si>
  <si>
    <t>FACT N°57/02/BS/2026</t>
  </si>
  <si>
    <t>FACT N°111/04/BS/2026</t>
  </si>
  <si>
    <t>Location mini bus Hyundaï Grand Starex - 775UA 4</t>
  </si>
  <si>
    <t>FACT N°116/04/BS/2026</t>
  </si>
  <si>
    <t>FACT N°005/06/BS/2026</t>
  </si>
  <si>
    <t>24/01/2026</t>
  </si>
  <si>
    <t>Réfection de fauteuils de bureau</t>
  </si>
  <si>
    <t>Nom de la société : Maître Chanel MONGONGO</t>
  </si>
  <si>
    <t>N° du contact : 06 659 04 05</t>
  </si>
  <si>
    <t>FACT N°0047/SFTRN-ACSI/IMMO/026</t>
  </si>
  <si>
    <t>Loyer mois de février 2026</t>
  </si>
  <si>
    <t>FACT N°0048/SFTRN-ACSI/IMMO/026</t>
  </si>
  <si>
    <t>FACT N°0049/SFTRN-ACSI/IMMO/026</t>
  </si>
  <si>
    <t>Loyer mois de mars 2026</t>
  </si>
  <si>
    <t>FACT N°0050/SFTRN-ACSI/IMMO/026</t>
  </si>
  <si>
    <t>FACT N°0051/SFTRN-ACSI/IMMO/026</t>
  </si>
  <si>
    <t>Loyer du mois de mai 2026</t>
  </si>
  <si>
    <t>FACT N°0052/SFTRN-ACSI/IMMO/026</t>
  </si>
  <si>
    <t>FACT N°0053/SFTRN-ACSI/IMMO/026</t>
  </si>
  <si>
    <t>FACT N°0054/SFTRN-ACSI/IMMO/026</t>
  </si>
  <si>
    <t>Loyer du mois de juin 2026</t>
  </si>
  <si>
    <t>Loyer du mois de juillet 2026</t>
  </si>
  <si>
    <t>08/01/2026</t>
  </si>
  <si>
    <t xml:space="preserve">DEVIS </t>
  </si>
  <si>
    <t>PROFORMA N°118</t>
  </si>
  <si>
    <t>09/01/2026</t>
  </si>
  <si>
    <t>PROFORMA N°</t>
  </si>
  <si>
    <t>Entretien général du véhicule 775UA4</t>
  </si>
  <si>
    <t>Entretien général du véhicule 901GDQ4</t>
  </si>
  <si>
    <t>PROFORMA N°0154</t>
  </si>
  <si>
    <t>24/04/2026</t>
  </si>
  <si>
    <t>FACTURE N°PBS150</t>
  </si>
  <si>
    <t>Shelly Pro Dimmer</t>
  </si>
  <si>
    <t>FACTURE N°20251202138498</t>
  </si>
  <si>
    <t>Consommation DISSI</t>
  </si>
  <si>
    <t>FACTURE N°20251202054915</t>
  </si>
  <si>
    <t>Consommation DG</t>
  </si>
  <si>
    <t>NOV-DEC 25</t>
  </si>
  <si>
    <t>FACTURE N°20260292011749</t>
  </si>
  <si>
    <t>FACTURE N°20260202025333</t>
  </si>
  <si>
    <t>Consommation DISI</t>
  </si>
  <si>
    <t>JANVIER 26</t>
  </si>
  <si>
    <t>FACTURE N°20260170000053</t>
  </si>
  <si>
    <t>Consommation ACSI</t>
  </si>
  <si>
    <t>FEVRIER 26</t>
  </si>
  <si>
    <t>FACTURE N°20260270000053</t>
  </si>
  <si>
    <t>MAR-AVR</t>
  </si>
  <si>
    <t>JAN-FEV 26</t>
  </si>
  <si>
    <t>FACTURE N°20260402025430</t>
  </si>
  <si>
    <t>MAI-JUIN</t>
  </si>
  <si>
    <t>FACTURE N°20260602025527</t>
  </si>
  <si>
    <t>FACTURE N°20260601034784</t>
  </si>
  <si>
    <t>Consommation DAF</t>
  </si>
  <si>
    <t>FACTURE N°20260602141104</t>
  </si>
  <si>
    <t>AVRIL</t>
  </si>
  <si>
    <t>FACTURE N°20260470000053</t>
  </si>
  <si>
    <t>MAI</t>
  </si>
  <si>
    <t>FACTURE N°20260570000053</t>
  </si>
  <si>
    <t>MARS</t>
  </si>
  <si>
    <t>FACTURE N°20260370000053</t>
  </si>
  <si>
    <t>JUIN</t>
  </si>
  <si>
    <t>FACTURE N°20260670000053</t>
  </si>
  <si>
    <t xml:space="preserve">JUILLET </t>
  </si>
  <si>
    <t>FACTURE N°20260770000053</t>
  </si>
  <si>
    <t>FACTURE N°20251202025199</t>
  </si>
  <si>
    <t>FACTURE N°20260201034559</t>
  </si>
  <si>
    <t>FACTURE N°202601190152573-19</t>
  </si>
  <si>
    <t xml:space="preserve">FEVRIER </t>
  </si>
  <si>
    <t>FACTURE N°202602190153334-19</t>
  </si>
  <si>
    <t>FACTURE N°202603190154030-19</t>
  </si>
  <si>
    <t xml:space="preserve">AVRIL </t>
  </si>
  <si>
    <t>FACTURE N°202604190154931-19</t>
  </si>
  <si>
    <t>MARS-AVRIL</t>
  </si>
  <si>
    <t>FACTURE N°202604369963-15</t>
  </si>
  <si>
    <t>FACTURE N°202605190155749-19</t>
  </si>
  <si>
    <t>FACTURE N°202606190156567-19</t>
  </si>
  <si>
    <t>JUILLET 2026</t>
  </si>
  <si>
    <t>FACT N°22/26</t>
  </si>
  <si>
    <t>Abonnement d'une année</t>
  </si>
  <si>
    <t>FACTURE BLT-F-26070000992</t>
  </si>
  <si>
    <t>Maintenance complète du système solaire</t>
  </si>
  <si>
    <t>Fourniture Licence Vmware entreprise ESXi</t>
  </si>
  <si>
    <t>PROF PR2606-0004</t>
  </si>
  <si>
    <t xml:space="preserve">Baie Serveur 42U </t>
  </si>
  <si>
    <t>PROF PR2606-0003</t>
  </si>
  <si>
    <t>PROF PR2606-0002</t>
  </si>
  <si>
    <t>Par feu Fortigate FG80f
Licence FG-80F-BDL-950-12/an</t>
  </si>
  <si>
    <t>PROF PR2606-0005</t>
  </si>
  <si>
    <t>CISCO
Switch manageable L2/L3, 24 ports Gigabit Ethernet</t>
  </si>
  <si>
    <t>FACTURE : 0191</t>
  </si>
  <si>
    <t>PROF N°0046/07/26/BZV-PN</t>
  </si>
  <si>
    <t>Transport effets personnels</t>
  </si>
  <si>
    <t>Phase 2: Validation des livrables et déploiement technique et pilote</t>
  </si>
  <si>
    <t>Phase 2 et 3: Présentation de la plateforme SUPILA, validation, déploiement et accompagnement</t>
  </si>
  <si>
    <t>Phase 1: Solde de la phase 1 (Note de cadrage et plan de gouvernance du projet et validation des livrables de cadrage et conception)</t>
  </si>
  <si>
    <t>FACT SMR N°BP/IN/003/2026/01</t>
  </si>
  <si>
    <t>NetForce Silver Internet</t>
  </si>
  <si>
    <t>FACT SMR N°BP/IC/008/2026/01</t>
  </si>
  <si>
    <t>Interconnexion LS BZV-PNR</t>
  </si>
  <si>
    <t>FACT SMR N°BP/IC/008/2026/02</t>
  </si>
  <si>
    <t>FACT SMR N°WB/IP/008/2026/01</t>
  </si>
  <si>
    <t>Adresse IP</t>
  </si>
  <si>
    <t xml:space="preserve">Février </t>
  </si>
  <si>
    <t>FACT SMR N°BP/IN/003/2026/02</t>
  </si>
  <si>
    <t>FACT SMR N°WB/IP/008/2026/02</t>
  </si>
  <si>
    <t>FACT SMR N°BP/IN/003/2026/03</t>
  </si>
  <si>
    <t>FACT SMR N°BP/IC/008/2026/03</t>
  </si>
  <si>
    <t>FACT SMR N°WB/IP/008/2026/03</t>
  </si>
  <si>
    <t>Mars</t>
  </si>
  <si>
    <t>Avril</t>
  </si>
  <si>
    <t>FACT SMR N°BP/IN/003/2026/04</t>
  </si>
  <si>
    <t>FACT SMR N°BP/IC/008/2026/04</t>
  </si>
  <si>
    <t>FACT SMR N°WB/IP/008/2026/04</t>
  </si>
  <si>
    <t>Mai</t>
  </si>
  <si>
    <t>FACT SMR N°WB/IP/008/2026/05</t>
  </si>
  <si>
    <t>FACT SMR N°BP/IC/008/2026/05</t>
  </si>
  <si>
    <t>FACT SMR N°BP/IN/003/2026/05</t>
  </si>
  <si>
    <t>Juin</t>
  </si>
  <si>
    <t>FACT SMR N°BP/IN/003/2026/06</t>
  </si>
  <si>
    <t>FACT SMR N°BP/IC/008/2026/06</t>
  </si>
  <si>
    <t>FACT SMR N°WB/IP/008/2026/06</t>
  </si>
  <si>
    <t>PROF N°WB/IP/012/2026/06</t>
  </si>
  <si>
    <t>NetForce Silver</t>
  </si>
  <si>
    <t>PROF N°WB/IP/011/2026/06</t>
  </si>
  <si>
    <t>Frais de déploiement (Hop. Nkombo)</t>
  </si>
  <si>
    <t>PROF N°WB/006/2026/06</t>
  </si>
  <si>
    <t>PROF N°WB/IC/008/2026/06</t>
  </si>
  <si>
    <t>Corporate VPN LS: ACSI-CHU</t>
  </si>
  <si>
    <t>PROF N°WB/IC/010/2026/06</t>
  </si>
  <si>
    <t>Corporate VPN LS: ACSI-Hop. Nkombo</t>
  </si>
  <si>
    <t>Frais de déploiement (CNTS)</t>
  </si>
  <si>
    <t>PROF N°WB/005/2026/06</t>
  </si>
  <si>
    <t>Frais de déploiement (CHU)</t>
  </si>
  <si>
    <t>Juillet</t>
  </si>
  <si>
    <t>N° FAC20260701-3PFXY-7OK1Y</t>
  </si>
  <si>
    <t>NetForce Silver
Adresse IP</t>
  </si>
  <si>
    <t>N° FAC20260702-3PFXY-MK86H</t>
  </si>
  <si>
    <t>Seconde liaison ACSI Netforce Bronze</t>
  </si>
  <si>
    <t>N° FAC20260702-3PFXY-PIUJC</t>
  </si>
  <si>
    <t>FACT N°117/KUD/JANV/26</t>
  </si>
  <si>
    <t>Prestation de restauration et livraison de plats 
(Site virage Maya-Maya)</t>
  </si>
  <si>
    <t>Prestation de restauration et livraison de plats 
(Projet TMCL et SIFEC)</t>
  </si>
  <si>
    <t>FACT N°116/01/KU/26</t>
  </si>
  <si>
    <t>FACT N°117/02/KU/26</t>
  </si>
  <si>
    <t>FACT N°118/KUDIA/FEV/26</t>
  </si>
  <si>
    <t>FACT N°119/KUDIA/MARS/26</t>
  </si>
  <si>
    <t>FACT N°118/03/KU/26</t>
  </si>
  <si>
    <t>FACT N°120/KUDIA/04/26</t>
  </si>
  <si>
    <t>FACT N°119/04/KU/26</t>
  </si>
  <si>
    <t>FACT N°120/05/KU/26</t>
  </si>
  <si>
    <t>FACT N°121/KUDIA/05/26</t>
  </si>
  <si>
    <t>FACT N°121/06/KU/26</t>
  </si>
  <si>
    <t>FACT N°122/KUDIA/06/26</t>
  </si>
  <si>
    <t>FACT N°122/07/KU/26</t>
  </si>
  <si>
    <t>FACT N°123/KUDIA/07/26</t>
  </si>
  <si>
    <t>FACT N°29/26</t>
  </si>
  <si>
    <t>Acquisition Télèviseur</t>
  </si>
  <si>
    <t>FACT N°021-21/07/2026</t>
  </si>
  <si>
    <t>Location véhicule Prado TXL (Du 18 au 21/07/2026)</t>
  </si>
  <si>
    <t>FACT N°027-27/04/2026</t>
  </si>
  <si>
    <t>FACT N°029-29/04/2026</t>
  </si>
  <si>
    <t>FACT N°89/07/BS/2026</t>
  </si>
  <si>
    <t xml:space="preserve">Renouvellement annuelle de l'hébergement Web de l'ACSI (12/08/26 au 12/08/2027) </t>
  </si>
  <si>
    <t>PROFORMA 
FCP-PRS-02726008</t>
  </si>
  <si>
    <t>Août 2026</t>
  </si>
  <si>
    <t>Prestation de restauration et livraison de plats 32/7500/26j
(Projet TMCL et SIFEC)</t>
  </si>
  <si>
    <t>FACT N°123/08/KU/26</t>
  </si>
  <si>
    <t>FACT N°124/KUDIA/08/26</t>
  </si>
  <si>
    <t>Prestation de restauration et livraison de plats 18/7500/26j
(Site virage Maya-Maya)</t>
  </si>
  <si>
    <t>FACT N°0188</t>
  </si>
  <si>
    <t>FACT N°029-29/07/2026</t>
  </si>
  <si>
    <t>Location véhicule Prado TXL (Du 26 au 28/07/2026)</t>
  </si>
  <si>
    <t>DEVIS N°1019</t>
  </si>
  <si>
    <t>Achat et impression T-sirt et casquette</t>
  </si>
  <si>
    <t>DEVIS S00071</t>
  </si>
  <si>
    <t>Diffusion spot télé 
(Promo vacances)</t>
  </si>
  <si>
    <t>PROFORMA N°0129/06/SC/DRTVHDN°/26</t>
  </si>
  <si>
    <t>Diffusion d'un spot publicitaire (Promo-vacances)</t>
  </si>
  <si>
    <t>DEVIS N°1018</t>
  </si>
  <si>
    <t>Impression A3, A2, Flyers</t>
  </si>
  <si>
    <t>DEVIS N°BA26070202</t>
  </si>
  <si>
    <t>02/07/2026</t>
  </si>
  <si>
    <t>Conception et impression bâche</t>
  </si>
  <si>
    <t>30/06/2026</t>
  </si>
  <si>
    <t>DEVIS PROF N°2026 06-009</t>
  </si>
  <si>
    <t>Production et montage vidéo d'un spot publicitaire/institutionnel</t>
  </si>
  <si>
    <t>Août 2027</t>
  </si>
  <si>
    <t>FACT N°0055/SFTRN-ACSI/IMMO/026</t>
  </si>
  <si>
    <t>FACT N°0056/SFTRN-ACSI/IMMO/026</t>
  </si>
  <si>
    <t>FACT N°0057/SFTRN-ACSI/IMMO/026</t>
  </si>
  <si>
    <t>FACT N°0058/SFTRN-ACSI/IMMO/026</t>
  </si>
  <si>
    <t>Loyer du mois d'août 2026</t>
  </si>
  <si>
    <t>N° FAC20260802-3PFXY-SPAPW</t>
  </si>
  <si>
    <t>Août</t>
  </si>
  <si>
    <t>N° FAC20260802-3PFXY-2SK3</t>
  </si>
  <si>
    <t>N° FAC20260802-3PFXY-U08XP</t>
  </si>
  <si>
    <t>Type de document</t>
  </si>
  <si>
    <t>AOUT</t>
  </si>
  <si>
    <t>FACTURE N°20260870000053</t>
  </si>
  <si>
    <t>Prof N°18 INC/DCM/SV-26 
du 08/02/2026</t>
  </si>
  <si>
    <t>Prof N°0160 INC/DCM/SV-26 
du 04/06/2026</t>
  </si>
  <si>
    <t>30/07/2026</t>
  </si>
  <si>
    <t>PROF N°178</t>
  </si>
  <si>
    <t>Acquisition imprimante HP multifonction 179</t>
  </si>
  <si>
    <t xml:space="preserve">Acquisition imprimante hp multifonction </t>
  </si>
  <si>
    <t>PROF N°96</t>
  </si>
  <si>
    <t>PROF N° 83/ENDS</t>
  </si>
  <si>
    <t>29/07/2026</t>
  </si>
  <si>
    <t>Acquisition fournitures bureautique</t>
  </si>
  <si>
    <t>PROF N°177</t>
  </si>
  <si>
    <t>PROF N°174</t>
  </si>
  <si>
    <t>PROF N°101</t>
  </si>
  <si>
    <t>PROF N°99</t>
  </si>
  <si>
    <t>Acquisition rames de papier</t>
  </si>
  <si>
    <t>Acquisition encres pour imprimante</t>
  </si>
  <si>
    <t>Acquisition imprimante hp multifonction 179</t>
  </si>
  <si>
    <t xml:space="preserve">Réparation du supresseur </t>
  </si>
  <si>
    <t>Devis</t>
  </si>
  <si>
    <t>Courrier</t>
  </si>
  <si>
    <t>Transmission état de sommes dues des années 2023 à 2025 et année 2026 en cours (01/01 au 31/07/2026)</t>
  </si>
  <si>
    <t>FACT N°034</t>
  </si>
  <si>
    <t>Photo de format 30x40 de la cérémonie du PDRCL (du 12 au 14/02/2006) et SIFEC (du 18 au20/02/2026)</t>
  </si>
  <si>
    <t>FACT N°111/06/SEM/B&amp;E/2026</t>
  </si>
  <si>
    <t>FACT N°029-29/06/2026</t>
  </si>
  <si>
    <t>Location véhicule Prado TXL (Du 27 au 29/06/2026)</t>
  </si>
  <si>
    <t>28/07/2026</t>
  </si>
  <si>
    <t>Fabrication et pose d'une fenêtre 1m30/2m</t>
  </si>
  <si>
    <t>10/08/2026 au 29/09/2026</t>
  </si>
  <si>
    <t>DEVIS 0171002</t>
  </si>
  <si>
    <t>Du 06/08 au 05/09/2026</t>
  </si>
  <si>
    <t>DEVIS N°LASS-DV-2026-004</t>
  </si>
  <si>
    <t>Unité de traitement des applications - Equipement d'infrastructure (complément)</t>
  </si>
  <si>
    <t xml:space="preserve">JUIL - AOUT </t>
  </si>
  <si>
    <t>FACTURE N°20260801034964</t>
  </si>
  <si>
    <t xml:space="preserve">31/07/2026 au 31/08/2026 
</t>
  </si>
  <si>
    <t>FAC/2026/05911</t>
  </si>
  <si>
    <t>Maintenance GE B165 KVA 
NS: 34LNGCLH0034</t>
  </si>
  <si>
    <t>Entretien GE + location Gru</t>
  </si>
  <si>
    <t>Carton de rame</t>
  </si>
  <si>
    <t>Nom du partenaire : LAVAGE AUTO</t>
  </si>
  <si>
    <t>RECU DE CONTRÔLE N°37</t>
  </si>
  <si>
    <t>Gardiennage et entretien du véhicule de fonction du DG</t>
  </si>
  <si>
    <t>Juillet 2026
(31/07/2026)</t>
  </si>
  <si>
    <t>Prestation mensuelle en infographie et communication : mai 2026</t>
  </si>
  <si>
    <t>Nature du document</t>
  </si>
  <si>
    <t>Nature de document</t>
  </si>
  <si>
    <t>FACT N°007/26</t>
  </si>
  <si>
    <t>TELE CONGO</t>
  </si>
  <si>
    <t>AFCOM</t>
  </si>
  <si>
    <t>IMPRIMERIE NATIONALE DU CONGO</t>
  </si>
  <si>
    <t>SOMAC</t>
  </si>
  <si>
    <t xml:space="preserve"> N°002/01BZV </t>
  </si>
  <si>
    <t xml:space="preserve"> N°087/01 BZV </t>
  </si>
  <si>
    <t xml:space="preserve"> N°0247/02BZV</t>
  </si>
  <si>
    <t xml:space="preserve"> N°0401/02 BZV </t>
  </si>
  <si>
    <t>Janvier</t>
  </si>
  <si>
    <t xml:space="preserve"> N°0563/03 BZV  </t>
  </si>
  <si>
    <t xml:space="preserve"> N°0406/03 BZV</t>
  </si>
  <si>
    <t xml:space="preserve"> N°0576/04 BZV</t>
  </si>
  <si>
    <t xml:space="preserve"> N°0730/04 BZV </t>
  </si>
  <si>
    <t xml:space="preserve"> N°0739/05 BZV </t>
  </si>
  <si>
    <t xml:space="preserve"> N°0959/05 BZV </t>
  </si>
  <si>
    <t xml:space="preserve">N°0971/06 BZV </t>
  </si>
  <si>
    <t xml:space="preserve">N°01147/06 BZV </t>
  </si>
  <si>
    <t>N°01157/07 BZV</t>
  </si>
  <si>
    <t>N°01314/07 BZV</t>
  </si>
  <si>
    <t>SPORAFRIC</t>
  </si>
  <si>
    <t>ETS DALPIVOT</t>
  </si>
  <si>
    <t xml:space="preserve">ARDIA </t>
  </si>
  <si>
    <t>CONGO TELECOM</t>
  </si>
  <si>
    <t>PROF N°014176</t>
  </si>
  <si>
    <t>Acquisition LG Télèvision 75QNED82A6A</t>
  </si>
  <si>
    <t>12/08/2023</t>
  </si>
  <si>
    <t>14/07/2026</t>
  </si>
  <si>
    <t>DEVIS N°110843</t>
  </si>
  <si>
    <t>Télèviseur TCL 75" 4K UHD GOOGLE TV -SERIE P6L</t>
  </si>
  <si>
    <t>ETS ND SERVICE</t>
  </si>
  <si>
    <t>Hors proforma</t>
  </si>
  <si>
    <t>NSIA ASSURANCE VIE</t>
  </si>
  <si>
    <t>HOPITAL DE TALANGAI</t>
  </si>
  <si>
    <t>HOPITAL REGIONAL DES ARMEES</t>
  </si>
  <si>
    <t>HOPITAL MILITAIRE</t>
  </si>
  <si>
    <t>Consultations et divers 
examens</t>
  </si>
  <si>
    <t>PHARMACIE DAFFE</t>
  </si>
  <si>
    <t>DAKI &amp; SALEH POWER</t>
  </si>
  <si>
    <t>OLALA Ismail Omar</t>
  </si>
  <si>
    <t xml:space="preserve">BUROTOP IRIS </t>
  </si>
  <si>
    <t>Août et Septembre 2025</t>
  </si>
  <si>
    <t>LABO INJECTION (Garage)</t>
  </si>
  <si>
    <t>ETABLISSEMENT SYMPA</t>
  </si>
  <si>
    <t>MEGASTORE</t>
  </si>
  <si>
    <t>ORCA DECO BRAZZAVILLE DIAMANT</t>
  </si>
  <si>
    <t>METRO DE LUXE</t>
  </si>
  <si>
    <t>Acquisition appareils électroménager</t>
  </si>
  <si>
    <t>DIGITAL RADIO TELEVISION PN (DRTV)</t>
  </si>
  <si>
    <t>DIGITAL RADIO TELEVISION (DRTV)</t>
  </si>
  <si>
    <t xml:space="preserve"> MEDIA CONCEPT RADIO TELEVION (MCRTV)</t>
  </si>
  <si>
    <t xml:space="preserve"> BONNE NOUVELLE</t>
  </si>
  <si>
    <t xml:space="preserve">Nature du document </t>
  </si>
  <si>
    <t>LIBTECH.EXE</t>
  </si>
  <si>
    <t>HEBDOMADAIRE MANAGER HORIZON</t>
  </si>
  <si>
    <t>LES DEPECHES DE BRAZZAVILLE</t>
  </si>
  <si>
    <t xml:space="preserve">POINT SYS CONGO </t>
  </si>
  <si>
    <t>BILLY SERVICES</t>
  </si>
  <si>
    <t>SOFT RENOVATIONS</t>
  </si>
  <si>
    <t xml:space="preserve"> CHRIST FROID</t>
  </si>
  <si>
    <t>TOTAL ENERGIES</t>
  </si>
  <si>
    <t>ENERGIE ELECTRIQUE DU CONGO</t>
  </si>
  <si>
    <t>43 936</t>
  </si>
  <si>
    <t>LA CONGOLAISE DES EAUX</t>
  </si>
  <si>
    <t>Facture</t>
  </si>
  <si>
    <t>BL TECHNOLOGY</t>
  </si>
  <si>
    <t>BANAB TECHNOLOGY &amp; SERVICES</t>
  </si>
  <si>
    <t xml:space="preserve"> IT-TECH</t>
  </si>
  <si>
    <t>Natutre du document</t>
  </si>
  <si>
    <t>CAPEL SERVICES</t>
  </si>
  <si>
    <t xml:space="preserve"> SILICONE CONNECT</t>
  </si>
  <si>
    <t>KUDIA RESTAURANT ET TRAITEUR</t>
  </si>
  <si>
    <t>GLENN SERVICES</t>
  </si>
  <si>
    <t>GARDE REPUBLICAINE</t>
  </si>
  <si>
    <t xml:space="preserve">Toshiba N300 8
TB (MN 10ADA800S) 3.5
Hard drive 8 To 7200
RPM 512Mo
serial ATA III for NAS (Bulk)
QNAP TS-464U-8G-
Intel Celeron N5095/N5105 (Quad-Core 2.0 GHz/2.9 GHzRafale-Cache 4Mo)
</t>
  </si>
  <si>
    <t>11/06/2026 au 11/07/2026</t>
  </si>
  <si>
    <t>2023-2026</t>
  </si>
  <si>
    <t>L'ASSOCIE</t>
  </si>
  <si>
    <t>GENYNE SERVICE</t>
  </si>
  <si>
    <t>ETS D - B</t>
  </si>
  <si>
    <t>VISION2MZ</t>
  </si>
  <si>
    <t>BIANTOS AGENCY</t>
  </si>
  <si>
    <t>KINGM</t>
  </si>
  <si>
    <t>Publication d'une page spéciale à la publication 565</t>
  </si>
  <si>
    <t>FACT N°0014/MH/26</t>
  </si>
  <si>
    <t>BUROTEC</t>
  </si>
  <si>
    <t>SUPERSONIC</t>
  </si>
  <si>
    <t>E.C</t>
  </si>
  <si>
    <t>FACTURE
 N°26/03/ACSI-F0009</t>
  </si>
  <si>
    <t>FACTURE
 N°26/03/ACSI-F0010</t>
  </si>
  <si>
    <t>FACTURE 
N°26/04/ACSI-F0011</t>
  </si>
  <si>
    <t>SAFE-TECH</t>
  </si>
  <si>
    <t>Observation</t>
  </si>
  <si>
    <t>FACT N° 260421/01</t>
  </si>
  <si>
    <t>FACT N° 260426/04</t>
  </si>
  <si>
    <t>FACT N° 260429/05</t>
  </si>
  <si>
    <t>FACT N° 260428/05</t>
  </si>
  <si>
    <t>FACT N° 260438/08</t>
  </si>
  <si>
    <t>Monsieur KOUKA</t>
  </si>
  <si>
    <t>PROF 10180/2026</t>
  </si>
  <si>
    <t>Inverseur manuel, câble, achat carburant + Main d'œuvre
Manutention
location groupe électrogène 44KVA (2 mois)</t>
  </si>
  <si>
    <t>PROF 10179/2026</t>
  </si>
  <si>
    <t>Câble 3x2,5mm
Câble 4x6mm
Groupe élèctrogène 15KVA
ATS 50A
Gaine
Béton de propriété 2,5M/3M
Main d'œuvre électricié
Connexion cuve à gasoil</t>
  </si>
  <si>
    <t>FACTURE N°202608190158263-19</t>
  </si>
  <si>
    <t>Prestation de maintenance préventive de la période de Janvier 2026</t>
  </si>
  <si>
    <t>Prestation de maintenance préventive de la période de Février 2026</t>
  </si>
  <si>
    <t>Prestation de maintenance préventive de la période de Mars 2026</t>
  </si>
  <si>
    <t>Prestation de maintenance préventive de la période de Avril 2026</t>
  </si>
  <si>
    <t>Prestation de maintenance préventive de la période de Mai 2026</t>
  </si>
  <si>
    <t>Prestation de maintenance préventive de la période de Juin 2026</t>
  </si>
  <si>
    <t>FACTURE N°1</t>
  </si>
  <si>
    <t>FACTURE N°2</t>
  </si>
  <si>
    <t>FACTURE N°3</t>
  </si>
  <si>
    <t>FACTURE N°4</t>
  </si>
  <si>
    <t>FACTURE N°5</t>
  </si>
  <si>
    <t>FACTURE N°6</t>
  </si>
  <si>
    <t>FACTURE N°7</t>
  </si>
  <si>
    <t>Prestation de maintenance préventive de la période de Juillet 2026</t>
  </si>
  <si>
    <t>PAYER</t>
  </si>
  <si>
    <t>OV N°ACSI du 02/03/2026
BCH</t>
  </si>
  <si>
    <t>PAYE</t>
  </si>
  <si>
    <t>OVN°ACSI du 02/03/2026
BCH SC/2</t>
  </si>
  <si>
    <t>COMPU-STORE</t>
  </si>
  <si>
    <t>Acquisition materiels informatique</t>
  </si>
  <si>
    <t>NB : Règlement 856080 Chq N°0615678 du 03/03/2026 - BOA F/S</t>
  </si>
  <si>
    <t>Chq N°4685750
CDC co</t>
  </si>
  <si>
    <t>Chq N°4685751
CDC co</t>
  </si>
  <si>
    <t>et NetForce Silver Internet 2025</t>
  </si>
  <si>
    <t>Chq N°0615684
BOA F/S</t>
  </si>
  <si>
    <t xml:space="preserve"> CONGO INFORMATIQUE</t>
  </si>
  <si>
    <t>FACT N° F7067/2026</t>
  </si>
  <si>
    <t>Chq N°0000278
BCH SC/2</t>
  </si>
  <si>
    <t>Chq N°0000279
BCH SC/2</t>
  </si>
  <si>
    <t>MICROPLUS - ICT</t>
  </si>
  <si>
    <t>Chq N°0000280
BCH SC/2</t>
  </si>
  <si>
    <t>Ajoutun processeur intel xenon silver 4514Y</t>
  </si>
  <si>
    <t>Chq N°0000282
BCH SC/2</t>
  </si>
  <si>
    <t>OVN°ACSI du 11/06/2026
BCH SC/2</t>
  </si>
  <si>
    <t>Chq N°4685718
CDC co</t>
  </si>
  <si>
    <t>OVN°ACSI du 09/07/2026
BCH SC/2</t>
  </si>
  <si>
    <t>OVN°ACSI du 09/07/26
BCH SC2</t>
  </si>
  <si>
    <t>(Trouver la facture correspondante)</t>
  </si>
  <si>
    <t xml:space="preserve">Règlement facture N°13/05/BS/2026 pour le mois de MAI 2026 (3.120.000) OV N°ACSI du 11/06/2026 - </t>
  </si>
  <si>
    <t>BCH SC/2 (Location véhicule Hyundai - Brazzaville)  (Trouver la facture correspondante)</t>
  </si>
  <si>
    <t>(Retrouver la facture correspondante)</t>
  </si>
  <si>
    <r>
      <rPr>
        <b/>
        <sz val="22"/>
        <color theme="1"/>
        <rFont val="Open Sans"/>
        <family val="2"/>
      </rPr>
      <t>NB</t>
    </r>
    <r>
      <rPr>
        <sz val="22"/>
        <color theme="1"/>
        <rFont val="Open Sans"/>
        <family val="2"/>
      </rPr>
      <t xml:space="preserve"> : Règlement facture N° BS/2026 pour le mois de MAI 2026 (3.120.000) OV N°ACSI du 02/03/2026 - BCH SC/2</t>
    </r>
  </si>
  <si>
    <t>OV N°ACSI du 09/07/2026
BCH</t>
  </si>
  <si>
    <t>OV N°ACSI du 09/07/2026 - BCH SC/2 (Retrouver la facture correspondante)</t>
  </si>
  <si>
    <r>
      <rPr>
        <b/>
        <sz val="22"/>
        <color theme="1"/>
        <rFont val="Open Sans"/>
        <family val="2"/>
      </rPr>
      <t>NB</t>
    </r>
    <r>
      <rPr>
        <sz val="22"/>
        <color theme="1"/>
        <rFont val="Open Sans"/>
        <family val="2"/>
      </rPr>
      <t xml:space="preserve"> : Règlement factures N° 22-07026/SFTRN-ACSI-IMMO-053 et 2206026/SFTRN pour le mois de JUILLET 2026 (3.120.000) </t>
    </r>
  </si>
  <si>
    <t xml:space="preserve">Règlement facture N°29/04/GDLT/26  (5.736.925) Chq N°0000301 (Fourniture des écrans de supervision pour les projetS - Livraison écran ECOFIN) </t>
  </si>
  <si>
    <t>GROUPE DREAMS LINK TECHNOLOGY</t>
  </si>
  <si>
    <t>Chq N°0000303
BCH SC/2</t>
  </si>
  <si>
    <t>Chq N°0000304
BCH SC/2</t>
  </si>
  <si>
    <t>Chq N°0615683
BOA F/S
BCH SC2</t>
  </si>
  <si>
    <t>Chq N°0000306
BCH SC2
BCH SC2</t>
  </si>
  <si>
    <t>Chq N°0000311
BCH SC/2</t>
  </si>
  <si>
    <t>Règlement facture N°FACT-MICT/ACSI-2026-06-0005 (4.399.300) Chq N°0000310 (Acquisition matériel réseau Switch manageable L2/L3…)</t>
  </si>
  <si>
    <t>Règlement facture N°FACT-MICT/ACSI-2026-06-0006 (2.021.300) Chq N°0000311 (Acquisition Baie serveur au format 19 dimensions …)</t>
  </si>
  <si>
    <t>NB : Règlement 1.000.000 Chq N°0000312 du 20/07/2026 - BCH SC2 Pour installation d'un champ photovoltaïque</t>
  </si>
  <si>
    <t>au profit des ETS BL Technology (Retrouver la facture correspondante)</t>
  </si>
  <si>
    <t>Chq N°0000322
BCH SC2</t>
  </si>
  <si>
    <t>OV N°ACSI du 07/08/2026
BCH</t>
  </si>
  <si>
    <t>OVN°ACSI du 07/08/2026
BCH SC2</t>
  </si>
  <si>
    <t>CONSO PLUS</t>
  </si>
  <si>
    <t>14/08/2026</t>
  </si>
  <si>
    <t>FACTURE N° 0780</t>
  </si>
  <si>
    <t>TV Hisense 75P</t>
  </si>
  <si>
    <t>MALONGA SERVICES FILS</t>
  </si>
  <si>
    <t>FACTURE N° 11</t>
  </si>
  <si>
    <t>FACTURE N° 10</t>
  </si>
  <si>
    <t>Location bus Coaster
BZV-OYO-BZV
Du 20 au 25 avril 2026</t>
  </si>
  <si>
    <t>Location bus Coaster
BZV-OYO-BZV</t>
  </si>
  <si>
    <t xml:space="preserve">ROSERAIE SERVICE </t>
  </si>
  <si>
    <r>
      <rPr>
        <b/>
        <u/>
        <sz val="24"/>
        <color theme="1"/>
        <rFont val="Open Sans"/>
        <family val="2"/>
      </rPr>
      <t>NB</t>
    </r>
    <r>
      <rPr>
        <sz val="24"/>
        <color theme="1"/>
        <rFont val="Open Sans"/>
        <family val="2"/>
      </rPr>
      <t xml:space="preserve"> : Règlement 6.032.000 Ordre de virement du 06/08/2026 </t>
    </r>
  </si>
  <si>
    <t xml:space="preserve">         Règlement 3.393.000 Ordre de virement du 06/08/2026 </t>
  </si>
  <si>
    <t xml:space="preserve">Règlement 3.120.000 Ordre de virement du 06/08/2026 </t>
  </si>
  <si>
    <t>Paiement par Ordre de virement le 06/08/2026 du montant de 3.120.000</t>
  </si>
  <si>
    <t>FACTURE</t>
  </si>
  <si>
    <t>PHARMACIE CROIX DU SUD</t>
  </si>
  <si>
    <t>FACT N° 90/ENDS</t>
  </si>
  <si>
    <t>Chq N°4685781
BCH</t>
  </si>
  <si>
    <t>Chq N°0000259
BCH</t>
  </si>
  <si>
    <r>
      <rPr>
        <b/>
        <u/>
        <sz val="24"/>
        <color theme="1"/>
        <rFont val="Open Sans"/>
        <family val="2"/>
      </rPr>
      <t>NB</t>
    </r>
    <r>
      <rPr>
        <sz val="24"/>
        <color theme="1"/>
        <rFont val="Open Sans"/>
        <family val="2"/>
      </rPr>
      <t xml:space="preserve"> : Règlement facture N°0183 pour le mois de février 2026 (3.120.000) OV N°ACSI du 02/03/2026 - BCH </t>
    </r>
  </si>
  <si>
    <t>ETABLISSEMENT CARREFOUR</t>
  </si>
  <si>
    <t>SHEKINAH EXCELLENCE MULTIPURPOSE</t>
  </si>
  <si>
    <t>STECH SERVICES</t>
  </si>
  <si>
    <r>
      <rPr>
        <b/>
        <u/>
        <sz val="22"/>
        <color theme="1"/>
        <rFont val="Open Sans"/>
        <family val="2"/>
      </rPr>
      <t xml:space="preserve"> NB</t>
    </r>
    <r>
      <rPr>
        <b/>
        <sz val="22"/>
        <color theme="1"/>
        <rFont val="Open Sans"/>
        <family val="2"/>
      </rPr>
      <t xml:space="preserve"> : Paiement par chèque N°4685776 BCH du montant de 345.824 le 08 juillet 2026</t>
    </r>
  </si>
  <si>
    <t>UNITED - CONGO</t>
  </si>
  <si>
    <t>MBOTE SHOP</t>
  </si>
  <si>
    <t xml:space="preserve"> MASSANZAMBI Rigobert Services</t>
  </si>
  <si>
    <t xml:space="preserve"> M.P.C</t>
  </si>
  <si>
    <r>
      <rPr>
        <b/>
        <u/>
        <sz val="24"/>
        <color theme="1"/>
        <rFont val="Open Sans"/>
        <family val="2"/>
      </rPr>
      <t>NB</t>
    </r>
    <r>
      <rPr>
        <b/>
        <sz val="24"/>
        <color theme="1"/>
        <rFont val="Open Sans"/>
        <family val="2"/>
      </rPr>
      <t>:</t>
    </r>
    <r>
      <rPr>
        <sz val="24"/>
        <color theme="1"/>
        <rFont val="Open Sans"/>
        <family val="2"/>
      </rPr>
      <t xml:space="preserve"> Paiement par chèque N°4685776 du montant de 345.000 le 11/08/2026</t>
    </r>
  </si>
  <si>
    <r>
      <rPr>
        <b/>
        <u/>
        <sz val="24"/>
        <color theme="1"/>
        <rFont val="Open Sans"/>
        <family val="2"/>
      </rPr>
      <t>NB</t>
    </r>
    <r>
      <rPr>
        <b/>
        <sz val="24"/>
        <color theme="1"/>
        <rFont val="Open Sans"/>
        <family val="2"/>
      </rPr>
      <t xml:space="preserve"> : Règlement 1.646.506 Chq N°0615683 du 02/04/2026 - BOA F/S Pour Interconnexion LS BZV-PNR 2026 / Adresse IP 2026 </t>
    </r>
  </si>
  <si>
    <t>Règlement montant de 4.814.388 Chq N°0000313 du 21/07/2026 - BCH</t>
  </si>
  <si>
    <t>EDITIONS LES SOZO</t>
  </si>
  <si>
    <t xml:space="preserve">Justificatif de solde tiers </t>
  </si>
  <si>
    <t>01/08/2026 au 
31/08/2026</t>
  </si>
  <si>
    <t xml:space="preserve"> N°174/09/AFCOM/2026 
du 16/07/2026</t>
  </si>
  <si>
    <t>12/08/2026</t>
  </si>
  <si>
    <t>PROF N°003031</t>
  </si>
  <si>
    <t>Acquisition de pneu 205/R16</t>
  </si>
  <si>
    <t>21/08/2026</t>
  </si>
  <si>
    <t>FACT N°9583</t>
  </si>
  <si>
    <t>Acquisition de Pneu 205 R16</t>
  </si>
  <si>
    <t>AFRIQUE AUTOMOBILE</t>
  </si>
  <si>
    <t>ETS DIALLA AUTO</t>
  </si>
  <si>
    <t>FACT N°0189</t>
  </si>
  <si>
    <t>FACT N°124/09/KU/26</t>
  </si>
  <si>
    <t>FACT N°125/KUDIA/09/26</t>
  </si>
  <si>
    <t>Sept 2026</t>
  </si>
  <si>
    <t>24/08/2026</t>
  </si>
  <si>
    <t>PROFORMA N°0158</t>
  </si>
  <si>
    <t>Vidange complète du véhicule 901GDQ4</t>
  </si>
  <si>
    <t>Bon pour accord (25/08/2026)</t>
  </si>
  <si>
    <t>SEPTEMBRE</t>
  </si>
  <si>
    <t>FACT N°0051</t>
  </si>
  <si>
    <t>01/07/2026 au 31/07/2026</t>
  </si>
  <si>
    <t>FACT N° F26080907948CT</t>
  </si>
  <si>
    <t xml:space="preserve">Journal </t>
  </si>
  <si>
    <t>Grand livre auxiliaire</t>
  </si>
  <si>
    <t>PUMA</t>
  </si>
  <si>
    <t>Vidange complète véhicule 032CGQ4</t>
  </si>
  <si>
    <t>20/08/2026</t>
  </si>
  <si>
    <t>FACT N°020-20/08/2026</t>
  </si>
  <si>
    <t>FACT N°30/26</t>
  </si>
  <si>
    <t>N°01265/08 BZV</t>
  </si>
  <si>
    <t xml:space="preserve">N°01452/08 BZV </t>
  </si>
  <si>
    <t>PB SOLUTION</t>
  </si>
  <si>
    <t>GARAGE AUTOMOBILE MONDIAL</t>
  </si>
  <si>
    <t>24/07/2026</t>
  </si>
  <si>
    <t>FACTURE N°68</t>
  </si>
  <si>
    <t>FACTURE N°84</t>
  </si>
  <si>
    <t>01/01/2026 au 31/03/2026</t>
  </si>
  <si>
    <t>OVN°ACSI du 20/07/2026
BCH SC/2</t>
  </si>
  <si>
    <t>DEVIS N°S113104</t>
  </si>
  <si>
    <t xml:space="preserve">Acquisition Téléviseur 4KTCL"LED SMART  </t>
  </si>
  <si>
    <t>OVN°ACSI du 05/02/2026
BCH SC/2</t>
  </si>
  <si>
    <t>Sans 
programmation</t>
  </si>
  <si>
    <t>OVN°ACSI du 05/08/2026
BCH SC/2</t>
  </si>
  <si>
    <t>AUTO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</si>
</sst>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\ _F_C_F_A_-;\-* #,##0\ _F_C_F_A_-;_-* &quot;-&quot;\ _F_C_F_A_-;_-@_-"/>
    <numFmt numFmtId="43" formatCode="_-* #,##0.00\ _F_C_F_A_-;\-* #,##0.00\ _F_C_F_A_-;_-* &quot;-&quot;??\ _F_C_F_A_-;_-@_-"/>
    <numFmt numFmtId="164" formatCode="#,##0\ _F_C_F_A"/>
    <numFmt numFmtId="165" formatCode="[$]d\ mmm\ yyyy;@" x16r2:formatCode16="[$-fr-CG,1]d\ mmm\ yyyy;@"/>
    <numFmt numFmtId="166" formatCode="_-* #,##0.0\ _F_C_F_A_-;\-* #,##0.0\ _F_C_F_A_-;_-* &quot;-&quot;?\ _F_C_F_A_-;_-@_-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Jost*"/>
    </font>
    <font>
      <sz val="12"/>
      <color theme="1"/>
      <name val="Open Sans"/>
      <family val="2"/>
    </font>
    <font>
      <b/>
      <sz val="14"/>
      <color theme="1"/>
      <name val="Open Sans"/>
      <family val="2"/>
    </font>
    <font>
      <sz val="14"/>
      <color theme="1"/>
      <name val="Open Sans"/>
      <family val="2"/>
    </font>
    <font>
      <b/>
      <sz val="16"/>
      <color theme="1"/>
      <name val="Open Sans"/>
      <family val="2"/>
    </font>
    <font>
      <sz val="16"/>
      <color theme="1"/>
      <name val="Open Sans"/>
      <family val="2"/>
    </font>
    <font>
      <sz val="18"/>
      <color theme="1"/>
      <name val="Open Sans"/>
      <family val="2"/>
    </font>
    <font>
      <sz val="16"/>
      <color theme="1"/>
      <name val="Calibri"/>
      <family val="2"/>
      <scheme val="minor"/>
    </font>
    <font>
      <b/>
      <sz val="16"/>
      <color theme="1"/>
      <name val="Jost*"/>
    </font>
    <font>
      <sz val="16"/>
      <color theme="1"/>
      <name val="Jost*"/>
    </font>
    <font>
      <b/>
      <sz val="18"/>
      <color theme="1"/>
      <name val="Jost*"/>
    </font>
    <font>
      <sz val="18"/>
      <color theme="1"/>
      <name val="Jost*"/>
    </font>
    <font>
      <b/>
      <sz val="14"/>
      <color theme="1"/>
      <name val="Jost*"/>
    </font>
    <font>
      <b/>
      <sz val="12"/>
      <color theme="1"/>
      <name val="Open Sans"/>
      <family val="2"/>
    </font>
    <font>
      <b/>
      <sz val="12"/>
      <color theme="1"/>
      <name val="Jost*"/>
    </font>
    <font>
      <sz val="12"/>
      <color theme="1"/>
      <name val="Jost*"/>
    </font>
    <font>
      <sz val="20"/>
      <color theme="1"/>
      <name val="Jost*"/>
    </font>
    <font>
      <sz val="20"/>
      <color theme="1"/>
      <name val="Open Sans"/>
      <family val="2"/>
    </font>
    <font>
      <b/>
      <sz val="22"/>
      <color theme="1"/>
      <name val="Open Sans"/>
      <family val="2"/>
    </font>
    <font>
      <b/>
      <sz val="24"/>
      <color theme="1"/>
      <name val="Open Sans"/>
      <family val="2"/>
    </font>
    <font>
      <b/>
      <sz val="22"/>
      <color theme="1"/>
      <name val="Jost*"/>
    </font>
    <font>
      <sz val="24"/>
      <color theme="1"/>
      <name val="Open Sans"/>
      <family val="2"/>
    </font>
    <font>
      <b/>
      <sz val="26"/>
      <color theme="1"/>
      <name val="Open Sans"/>
      <family val="2"/>
    </font>
    <font>
      <b/>
      <u/>
      <sz val="36"/>
      <color theme="1"/>
      <name val="Jost*"/>
    </font>
    <font>
      <sz val="22"/>
      <color theme="1"/>
      <name val="Open Sans"/>
      <family val="2"/>
    </font>
    <font>
      <b/>
      <sz val="24"/>
      <color theme="1"/>
      <name val="Jost* Heavy"/>
    </font>
    <font>
      <sz val="22"/>
      <color theme="1"/>
      <name val="Calibri"/>
      <family val="2"/>
      <scheme val="minor"/>
    </font>
    <font>
      <b/>
      <sz val="24"/>
      <color theme="1"/>
      <name val="Jost*"/>
    </font>
    <font>
      <b/>
      <sz val="24"/>
      <color theme="1"/>
      <name val="Calibri"/>
      <family val="2"/>
      <scheme val="minor"/>
    </font>
    <font>
      <b/>
      <sz val="26"/>
      <color theme="1"/>
      <name val="Jost*"/>
    </font>
    <font>
      <b/>
      <sz val="28"/>
      <color theme="1"/>
      <name val="Jost*"/>
    </font>
    <font>
      <b/>
      <sz val="36"/>
      <color theme="1"/>
      <name val="Jost*"/>
    </font>
    <font>
      <b/>
      <u/>
      <sz val="22"/>
      <color theme="1"/>
      <name val="Open Sans"/>
      <family val="2"/>
    </font>
    <font>
      <sz val="22"/>
      <color theme="1"/>
      <name val="Jost*"/>
    </font>
    <font>
      <sz val="24"/>
      <color theme="1"/>
      <name val="Jost* Heavy"/>
    </font>
    <font>
      <b/>
      <sz val="26"/>
      <color theme="1"/>
      <name val="Jost* Heavy"/>
    </font>
    <font>
      <sz val="24"/>
      <color theme="1"/>
      <name val="Jost*"/>
    </font>
    <font>
      <sz val="26"/>
      <color theme="1"/>
      <name val="Jost* Heavy"/>
    </font>
    <font>
      <sz val="22"/>
      <color theme="1"/>
      <name val="Jost"/>
    </font>
    <font>
      <sz val="36"/>
      <color theme="1"/>
      <name val="Jost* Heavy"/>
    </font>
    <font>
      <sz val="26"/>
      <color theme="1"/>
      <name val="Jost*"/>
    </font>
    <font>
      <sz val="26"/>
      <color theme="1"/>
      <name val="Open Sans"/>
      <family val="2"/>
    </font>
    <font>
      <sz val="3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u/>
      <sz val="24"/>
      <color theme="1"/>
      <name val="Open Sans"/>
      <family val="2"/>
    </font>
    <font>
      <sz val="25"/>
      <color theme="1"/>
      <name val="Open Sans"/>
      <family val="2"/>
    </font>
    <font>
      <b/>
      <sz val="25"/>
      <color theme="1"/>
      <name val="Open Sans"/>
      <family val="2"/>
    </font>
    <font>
      <sz val="26"/>
      <color theme="1"/>
      <name val="Calibri"/>
      <family val="2"/>
      <scheme val="minor"/>
    </font>
    <font>
      <sz val="28"/>
      <color theme="1"/>
      <name val="Jost*"/>
    </font>
    <font>
      <b/>
      <sz val="30"/>
      <color theme="1"/>
      <name val="Jost*"/>
    </font>
    <font>
      <sz val="30"/>
      <color theme="1"/>
      <name val="Jost*"/>
    </font>
    <font>
      <b/>
      <sz val="23"/>
      <color theme="1"/>
      <name val="Open Sans"/>
      <family val="2"/>
    </font>
    <font>
      <b/>
      <sz val="30"/>
      <color theme="1"/>
      <name val="Open Sans"/>
      <family val="2"/>
    </font>
    <font>
      <b/>
      <sz val="30"/>
      <color theme="1"/>
      <name val="Jost* Heavy"/>
    </font>
    <font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Jost* Heavy"/>
    </font>
    <font>
      <sz val="18"/>
      <color theme="1"/>
      <name val="Jost* Heavy"/>
    </font>
    <font>
      <b/>
      <sz val="18"/>
      <color theme="1"/>
      <name val="Jost* Heavy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29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/>
    </xf>
    <xf numFmtId="41" fontId="2" fillId="0" borderId="1" xfId="1" applyNumberFormat="1" applyFont="1" applyFill="1" applyBorder="1" applyAlignment="1">
      <alignment horizontal="right" vertical="center"/>
    </xf>
    <xf numFmtId="0" fontId="2" fillId="0" borderId="0" xfId="0" applyFont="1" applyFill="1"/>
    <xf numFmtId="41" fontId="2" fillId="0" borderId="1" xfId="1" applyNumberFormat="1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/>
    <xf numFmtId="41" fontId="2" fillId="0" borderId="1" xfId="1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/>
    </xf>
    <xf numFmtId="4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/>
    <xf numFmtId="0" fontId="6" fillId="0" borderId="1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Fill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1" fontId="10" fillId="0" borderId="1" xfId="1" applyNumberFormat="1" applyFont="1" applyFill="1" applyBorder="1" applyAlignment="1">
      <alignment horizontal="right" vertical="center"/>
    </xf>
    <xf numFmtId="165" fontId="10" fillId="0" borderId="1" xfId="1" applyNumberFormat="1" applyFont="1" applyFill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0" fontId="10" fillId="0" borderId="0" xfId="0" applyFont="1" applyFill="1"/>
    <xf numFmtId="165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right" vertical="center"/>
    </xf>
    <xf numFmtId="0" fontId="12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3" fillId="0" borderId="0" xfId="0" applyFont="1" applyFill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49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1" fontId="12" fillId="0" borderId="1" xfId="1" applyNumberFormat="1" applyFont="1" applyFill="1" applyBorder="1" applyAlignment="1">
      <alignment horizontal="right" vertical="center"/>
    </xf>
    <xf numFmtId="165" fontId="12" fillId="0" borderId="1" xfId="1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4" fillId="0" borderId="0" xfId="0" applyFont="1" applyFill="1"/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65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8" fillId="0" borderId="0" xfId="0" applyFont="1" applyAlignment="1"/>
    <xf numFmtId="0" fontId="15" fillId="0" borderId="0" xfId="0" applyFont="1" applyAlignme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0" fillId="0" borderId="0" xfId="0" applyFont="1" applyAlignment="1"/>
    <xf numFmtId="0" fontId="7" fillId="0" borderId="0" xfId="0" applyFont="1"/>
    <xf numFmtId="0" fontId="15" fillId="0" borderId="0" xfId="0" applyFont="1"/>
    <xf numFmtId="0" fontId="16" fillId="0" borderId="0" xfId="0" applyFont="1"/>
    <xf numFmtId="0" fontId="8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center" vertical="center"/>
    </xf>
    <xf numFmtId="41" fontId="8" fillId="0" borderId="1" xfId="1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1" xfId="0" applyFont="1" applyFill="1" applyBorder="1"/>
    <xf numFmtId="41" fontId="8" fillId="0" borderId="1" xfId="1" applyNumberFormat="1" applyFont="1" applyFill="1" applyBorder="1" applyAlignment="1">
      <alignment horizontal="center" vertical="center"/>
    </xf>
    <xf numFmtId="165" fontId="8" fillId="0" borderId="1" xfId="0" applyNumberFormat="1" applyFont="1" applyFill="1" applyBorder="1" applyAlignment="1">
      <alignment horizontal="center" vertical="center"/>
    </xf>
    <xf numFmtId="41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41" fontId="8" fillId="0" borderId="1" xfId="1" applyFont="1" applyFill="1" applyBorder="1" applyAlignment="1">
      <alignment horizontal="center" vertical="center"/>
    </xf>
    <xf numFmtId="0" fontId="22" fillId="0" borderId="0" xfId="0" applyFont="1"/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0" fillId="0" borderId="1" xfId="0" applyFont="1" applyFill="1" applyBorder="1"/>
    <xf numFmtId="14" fontId="10" fillId="0" borderId="1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165" fontId="8" fillId="0" borderId="1" xfId="0" applyNumberFormat="1" applyFont="1" applyBorder="1" applyAlignment="1">
      <alignment horizontal="center" wrapText="1"/>
    </xf>
    <xf numFmtId="0" fontId="14" fillId="0" borderId="0" xfId="0" applyFont="1" applyBorder="1"/>
    <xf numFmtId="0" fontId="14" fillId="0" borderId="0" xfId="0" applyFont="1" applyBorder="1" applyAlignment="1">
      <alignment horizontal="center" wrapText="1"/>
    </xf>
    <xf numFmtId="0" fontId="14" fillId="0" borderId="0" xfId="0" applyFont="1" applyFill="1" applyBorder="1" applyAlignment="1">
      <alignment horizontal="center" vertical="center" wrapText="1"/>
    </xf>
    <xf numFmtId="165" fontId="14" fillId="0" borderId="0" xfId="0" applyNumberFormat="1" applyFont="1" applyFill="1" applyBorder="1" applyAlignment="1">
      <alignment horizontal="center" vertical="center"/>
    </xf>
    <xf numFmtId="41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/>
    <xf numFmtId="0" fontId="14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Fill="1" applyBorder="1"/>
    <xf numFmtId="0" fontId="12" fillId="0" borderId="0" xfId="0" applyFont="1" applyBorder="1" applyAlignment="1">
      <alignment horizontal="center" wrapText="1"/>
    </xf>
    <xf numFmtId="0" fontId="12" fillId="0" borderId="0" xfId="0" applyFont="1" applyFill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center" vertical="center"/>
    </xf>
    <xf numFmtId="41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/>
    <xf numFmtId="0" fontId="19" fillId="0" borderId="0" xfId="0" applyFont="1" applyAlignment="1">
      <alignment horizontal="center" vertical="center"/>
    </xf>
    <xf numFmtId="0" fontId="22" fillId="0" borderId="0" xfId="0" applyFont="1" applyAlignment="1"/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wrapText="1"/>
    </xf>
    <xf numFmtId="49" fontId="10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1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3" fillId="0" borderId="0" xfId="0" applyFont="1"/>
    <xf numFmtId="0" fontId="19" fillId="0" borderId="0" xfId="0" applyFont="1"/>
    <xf numFmtId="0" fontId="17" fillId="0" borderId="0" xfId="0" applyFont="1" applyBorder="1" applyAlignment="1">
      <alignment horizontal="center" vertical="center" wrapText="1"/>
    </xf>
    <xf numFmtId="0" fontId="24" fillId="0" borderId="0" xfId="0" applyFont="1"/>
    <xf numFmtId="41" fontId="25" fillId="0" borderId="0" xfId="1" applyFont="1"/>
    <xf numFmtId="164" fontId="12" fillId="0" borderId="1" xfId="1" applyNumberFormat="1" applyFont="1" applyFill="1" applyBorder="1" applyAlignment="1">
      <alignment horizontal="right" vertical="center"/>
    </xf>
    <xf numFmtId="41" fontId="10" fillId="0" borderId="1" xfId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vertical="center" wrapText="1"/>
    </xf>
    <xf numFmtId="41" fontId="9" fillId="0" borderId="1" xfId="1" applyFont="1" applyBorder="1" applyAlignment="1">
      <alignment horizontal="center" vertical="center" wrapText="1"/>
    </xf>
    <xf numFmtId="164" fontId="11" fillId="0" borderId="1" xfId="0" applyNumberFormat="1" applyFont="1" applyFill="1" applyBorder="1"/>
    <xf numFmtId="164" fontId="9" fillId="0" borderId="1" xfId="0" applyNumberFormat="1" applyFont="1" applyFill="1" applyBorder="1"/>
    <xf numFmtId="0" fontId="15" fillId="0" borderId="0" xfId="0" applyFont="1" applyBorder="1" applyAlignment="1"/>
    <xf numFmtId="0" fontId="15" fillId="0" borderId="0" xfId="0" applyFont="1" applyBorder="1"/>
    <xf numFmtId="0" fontId="12" fillId="0" borderId="0" xfId="0" applyFont="1" applyAlignment="1"/>
    <xf numFmtId="0" fontId="7" fillId="0" borderId="0" xfId="0" applyFont="1" applyAlignment="1"/>
    <xf numFmtId="0" fontId="28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165" fontId="31" fillId="0" borderId="1" xfId="1" applyNumberFormat="1" applyFont="1" applyBorder="1" applyAlignment="1">
      <alignment horizontal="center" vertical="center"/>
    </xf>
    <xf numFmtId="41" fontId="31" fillId="0" borderId="1" xfId="1" applyNumberFormat="1" applyFont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0" fontId="31" fillId="0" borderId="1" xfId="0" applyFont="1" applyBorder="1"/>
    <xf numFmtId="0" fontId="31" fillId="0" borderId="1" xfId="0" applyFont="1" applyBorder="1" applyAlignment="1">
      <alignment horizontal="center"/>
    </xf>
    <xf numFmtId="165" fontId="31" fillId="0" borderId="1" xfId="0" applyNumberFormat="1" applyFont="1" applyBorder="1" applyAlignment="1">
      <alignment horizontal="center" vertical="center"/>
    </xf>
    <xf numFmtId="41" fontId="31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/>
    <xf numFmtId="165" fontId="28" fillId="0" borderId="1" xfId="0" applyNumberFormat="1" applyFont="1" applyBorder="1" applyAlignment="1">
      <alignment horizontal="center" vertical="center"/>
    </xf>
    <xf numFmtId="41" fontId="28" fillId="0" borderId="1" xfId="0" applyNumberFormat="1" applyFont="1" applyBorder="1" applyAlignment="1">
      <alignment horizontal="center" vertical="center"/>
    </xf>
    <xf numFmtId="0" fontId="31" fillId="0" borderId="0" xfId="0" applyFont="1" applyAlignment="1"/>
    <xf numFmtId="0" fontId="31" fillId="0" borderId="0" xfId="0" applyFont="1"/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41" fontId="25" fillId="0" borderId="0" xfId="0" applyNumberFormat="1" applyFont="1"/>
    <xf numFmtId="0" fontId="27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vertical="center" wrapText="1"/>
    </xf>
    <xf numFmtId="15" fontId="31" fillId="0" borderId="1" xfId="1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64" fontId="31" fillId="0" borderId="1" xfId="1" applyNumberFormat="1" applyFont="1" applyBorder="1" applyAlignment="1">
      <alignment vertical="center"/>
    </xf>
    <xf numFmtId="0" fontId="33" fillId="0" borderId="1" xfId="0" applyFont="1" applyBorder="1"/>
    <xf numFmtId="41" fontId="33" fillId="0" borderId="1" xfId="1" applyFont="1" applyBorder="1" applyAlignment="1">
      <alignment horizontal="right"/>
    </xf>
    <xf numFmtId="164" fontId="35" fillId="0" borderId="1" xfId="0" applyNumberFormat="1" applyFont="1" applyBorder="1"/>
    <xf numFmtId="0" fontId="34" fillId="0" borderId="0" xfId="0" applyFont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165" fontId="31" fillId="0" borderId="1" xfId="1" applyNumberFormat="1" applyFont="1" applyFill="1" applyBorder="1" applyAlignment="1">
      <alignment horizontal="center" vertical="center"/>
    </xf>
    <xf numFmtId="164" fontId="31" fillId="0" borderId="1" xfId="1" applyNumberFormat="1" applyFont="1" applyFill="1" applyBorder="1" applyAlignment="1">
      <alignment horizontal="right" vertical="center"/>
    </xf>
    <xf numFmtId="0" fontId="31" fillId="0" borderId="1" xfId="0" applyFont="1" applyFill="1" applyBorder="1"/>
    <xf numFmtId="165" fontId="31" fillId="0" borderId="1" xfId="0" applyNumberFormat="1" applyFont="1" applyFill="1" applyBorder="1" applyAlignment="1">
      <alignment horizontal="center" vertical="center"/>
    </xf>
    <xf numFmtId="41" fontId="31" fillId="0" borderId="1" xfId="1" applyNumberFormat="1" applyFont="1" applyFill="1" applyBorder="1" applyAlignment="1">
      <alignment horizontal="right" vertical="center"/>
    </xf>
    <xf numFmtId="41" fontId="31" fillId="0" borderId="1" xfId="0" applyNumberFormat="1" applyFont="1" applyFill="1" applyBorder="1" applyAlignment="1">
      <alignment horizontal="center" vertical="center"/>
    </xf>
    <xf numFmtId="0" fontId="33" fillId="0" borderId="1" xfId="0" applyFont="1" applyFill="1" applyBorder="1"/>
    <xf numFmtId="49" fontId="31" fillId="0" borderId="8" xfId="0" applyNumberFormat="1" applyFont="1" applyBorder="1" applyAlignment="1">
      <alignment horizontal="center" vertical="center" wrapText="1"/>
    </xf>
    <xf numFmtId="0" fontId="31" fillId="0" borderId="8" xfId="0" applyNumberFormat="1" applyFont="1" applyBorder="1" applyAlignment="1">
      <alignment horizontal="center" vertical="center" wrapText="1"/>
    </xf>
    <xf numFmtId="0" fontId="31" fillId="0" borderId="8" xfId="0" applyNumberFormat="1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wrapText="1"/>
    </xf>
    <xf numFmtId="41" fontId="31" fillId="0" borderId="1" xfId="0" applyNumberFormat="1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41" fontId="31" fillId="0" borderId="7" xfId="0" applyNumberFormat="1" applyFont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0" xfId="0" applyFont="1" applyBorder="1" applyAlignment="1">
      <alignment horizontal="center"/>
    </xf>
    <xf numFmtId="0" fontId="31" fillId="0" borderId="0" xfId="0" applyFont="1" applyBorder="1"/>
    <xf numFmtId="164" fontId="25" fillId="0" borderId="0" xfId="0" applyNumberFormat="1" applyFont="1"/>
    <xf numFmtId="0" fontId="31" fillId="0" borderId="0" xfId="0" applyFont="1" applyAlignment="1">
      <alignment vertical="center"/>
    </xf>
    <xf numFmtId="0" fontId="31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49" fontId="31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31" fillId="0" borderId="1" xfId="0" applyFont="1" applyFill="1" applyBorder="1" applyAlignment="1">
      <alignment horizontal="center" vertical="center" wrapText="1"/>
    </xf>
    <xf numFmtId="41" fontId="25" fillId="0" borderId="1" xfId="1" applyNumberFormat="1" applyFont="1" applyFill="1" applyBorder="1" applyAlignment="1">
      <alignment horizontal="right" vertical="center"/>
    </xf>
    <xf numFmtId="49" fontId="33" fillId="0" borderId="1" xfId="0" applyNumberFormat="1" applyFont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5" fontId="33" fillId="0" borderId="1" xfId="0" applyNumberFormat="1" applyFont="1" applyFill="1" applyBorder="1" applyAlignment="1">
      <alignment horizontal="center" vertical="center"/>
    </xf>
    <xf numFmtId="41" fontId="33" fillId="0" borderId="1" xfId="0" applyNumberFormat="1" applyFont="1" applyFill="1" applyBorder="1" applyAlignment="1">
      <alignment horizontal="center" vertical="center"/>
    </xf>
    <xf numFmtId="41" fontId="26" fillId="0" borderId="1" xfId="1" applyNumberFormat="1" applyFont="1" applyFill="1" applyBorder="1" applyAlignment="1">
      <alignment horizontal="right" vertical="center"/>
    </xf>
    <xf numFmtId="0" fontId="31" fillId="0" borderId="0" xfId="0" applyFont="1" applyFill="1"/>
    <xf numFmtId="0" fontId="31" fillId="0" borderId="1" xfId="0" applyNumberFormat="1" applyFont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/>
    </xf>
    <xf numFmtId="41" fontId="31" fillId="0" borderId="1" xfId="1" applyNumberFormat="1" applyFont="1" applyFill="1" applyBorder="1" applyAlignment="1">
      <alignment horizontal="center" vertical="center"/>
    </xf>
    <xf numFmtId="41" fontId="25" fillId="0" borderId="1" xfId="1" applyNumberFormat="1" applyFont="1" applyFill="1" applyBorder="1" applyAlignment="1">
      <alignment horizontal="center" vertical="center"/>
    </xf>
    <xf numFmtId="164" fontId="25" fillId="0" borderId="1" xfId="1" applyNumberFormat="1" applyFont="1" applyFill="1" applyBorder="1" applyAlignment="1">
      <alignment horizontal="right" vertical="center"/>
    </xf>
    <xf numFmtId="49" fontId="31" fillId="0" borderId="2" xfId="0" applyNumberFormat="1" applyFont="1" applyBorder="1" applyAlignment="1">
      <alignment horizontal="center" vertical="center" wrapText="1"/>
    </xf>
    <xf numFmtId="41" fontId="25" fillId="0" borderId="1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165" fontId="28" fillId="0" borderId="1" xfId="1" applyNumberFormat="1" applyFont="1" applyFill="1" applyBorder="1" applyAlignment="1">
      <alignment horizontal="center" vertical="center"/>
    </xf>
    <xf numFmtId="0" fontId="28" fillId="0" borderId="1" xfId="0" applyFont="1" applyFill="1" applyBorder="1"/>
    <xf numFmtId="165" fontId="28" fillId="0" borderId="1" xfId="0" applyNumberFormat="1" applyFont="1" applyFill="1" applyBorder="1" applyAlignment="1">
      <alignment horizontal="center" vertical="center"/>
    </xf>
    <xf numFmtId="41" fontId="26" fillId="0" borderId="1" xfId="0" applyNumberFormat="1" applyFont="1" applyFill="1" applyBorder="1" applyAlignment="1">
      <alignment horizontal="center" vertical="center"/>
    </xf>
    <xf numFmtId="1" fontId="31" fillId="0" borderId="1" xfId="1" applyNumberFormat="1" applyFont="1" applyFill="1" applyBorder="1" applyAlignment="1">
      <alignment horizontal="center" vertical="center"/>
    </xf>
    <xf numFmtId="1" fontId="31" fillId="0" borderId="1" xfId="0" applyNumberFormat="1" applyFont="1" applyFill="1" applyBorder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1" fontId="28" fillId="0" borderId="1" xfId="1" applyNumberFormat="1" applyFont="1" applyFill="1" applyBorder="1" applyAlignment="1">
      <alignment horizontal="center" vertical="center"/>
    </xf>
    <xf numFmtId="1" fontId="28" fillId="0" borderId="1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31" fillId="0" borderId="1" xfId="0" applyFont="1" applyFill="1" applyBorder="1" applyAlignment="1">
      <alignment horizontal="left" vertical="center" wrapText="1"/>
    </xf>
    <xf numFmtId="0" fontId="33" fillId="0" borderId="1" xfId="0" applyFont="1" applyFill="1" applyBorder="1" applyAlignment="1">
      <alignment horizontal="left" vertical="center" wrapText="1"/>
    </xf>
    <xf numFmtId="165" fontId="33" fillId="0" borderId="1" xfId="1" applyNumberFormat="1" applyFont="1" applyFill="1" applyBorder="1" applyAlignment="1">
      <alignment horizontal="center" vertical="center"/>
    </xf>
    <xf numFmtId="41" fontId="33" fillId="0" borderId="1" xfId="1" applyNumberFormat="1" applyFont="1" applyFill="1" applyBorder="1" applyAlignment="1">
      <alignment horizontal="right" vertical="center"/>
    </xf>
    <xf numFmtId="165" fontId="28" fillId="0" borderId="1" xfId="0" applyNumberFormat="1" applyFont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left" vertical="center" wrapText="1"/>
    </xf>
    <xf numFmtId="43" fontId="28" fillId="0" borderId="1" xfId="1" applyNumberFormat="1" applyFont="1" applyFill="1" applyBorder="1" applyAlignment="1">
      <alignment horizontal="right" vertical="center"/>
    </xf>
    <xf numFmtId="166" fontId="28" fillId="0" borderId="1" xfId="1" applyNumberFormat="1" applyFont="1" applyFill="1" applyBorder="1" applyAlignment="1">
      <alignment horizontal="right" vertical="center"/>
    </xf>
    <xf numFmtId="1" fontId="28" fillId="0" borderId="1" xfId="0" applyNumberFormat="1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43" fontId="29" fillId="0" borderId="1" xfId="0" applyNumberFormat="1" applyFont="1" applyBorder="1" applyAlignment="1">
      <alignment horizontal="center" vertical="center"/>
    </xf>
    <xf numFmtId="0" fontId="31" fillId="0" borderId="1" xfId="0" applyNumberFormat="1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1" fillId="0" borderId="8" xfId="0" applyNumberFormat="1" applyFont="1" applyBorder="1" applyAlignment="1">
      <alignment horizontal="center" vertical="center" wrapText="1"/>
    </xf>
    <xf numFmtId="0" fontId="31" fillId="0" borderId="8" xfId="0" applyNumberFormat="1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49" fontId="31" fillId="0" borderId="2" xfId="0" applyNumberFormat="1" applyFont="1" applyBorder="1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41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31" fillId="0" borderId="1" xfId="0" applyFont="1" applyFill="1" applyBorder="1" applyAlignment="1">
      <alignment wrapText="1"/>
    </xf>
    <xf numFmtId="0" fontId="31" fillId="0" borderId="1" xfId="0" applyFont="1" applyFill="1" applyBorder="1" applyAlignment="1">
      <alignment horizontal="center"/>
    </xf>
    <xf numFmtId="0" fontId="40" fillId="0" borderId="0" xfId="0" applyFont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164" fontId="25" fillId="0" borderId="0" xfId="0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14" fontId="31" fillId="0" borderId="1" xfId="0" applyNumberFormat="1" applyFont="1" applyBorder="1" applyAlignment="1">
      <alignment horizontal="center" wrapText="1"/>
    </xf>
    <xf numFmtId="0" fontId="31" fillId="0" borderId="1" xfId="0" applyFont="1" applyFill="1" applyBorder="1" applyAlignment="1">
      <alignment horizontal="center" wrapText="1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41" fillId="0" borderId="0" xfId="0" applyFont="1"/>
    <xf numFmtId="0" fontId="41" fillId="0" borderId="0" xfId="0" applyFont="1" applyAlignment="1">
      <alignment vertical="center"/>
    </xf>
    <xf numFmtId="0" fontId="43" fillId="0" borderId="0" xfId="0" applyFont="1"/>
    <xf numFmtId="0" fontId="43" fillId="0" borderId="0" xfId="0" applyFont="1" applyAlignment="1">
      <alignment vertical="center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49" fontId="31" fillId="0" borderId="9" xfId="0" applyNumberFormat="1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41" fontId="31" fillId="0" borderId="7" xfId="1" applyNumberFormat="1" applyFont="1" applyFill="1" applyBorder="1" applyAlignment="1">
      <alignment horizontal="right" vertical="center"/>
    </xf>
    <xf numFmtId="41" fontId="31" fillId="0" borderId="7" xfId="0" applyNumberFormat="1" applyFont="1" applyFill="1" applyBorder="1" applyAlignment="1">
      <alignment horizontal="center" vertical="center"/>
    </xf>
    <xf numFmtId="0" fontId="31" fillId="0" borderId="2" xfId="0" applyFont="1" applyFill="1" applyBorder="1"/>
    <xf numFmtId="0" fontId="31" fillId="0" borderId="3" xfId="0" applyFont="1" applyFill="1" applyBorder="1" applyAlignment="1">
      <alignment horizontal="center" vertical="center"/>
    </xf>
    <xf numFmtId="49" fontId="31" fillId="0" borderId="7" xfId="0" applyNumberFormat="1" applyFont="1" applyBorder="1" applyAlignment="1">
      <alignment vertical="center" wrapText="1"/>
    </xf>
    <xf numFmtId="49" fontId="31" fillId="0" borderId="8" xfId="0" applyNumberFormat="1" applyFont="1" applyBorder="1" applyAlignment="1">
      <alignment vertical="center" wrapText="1"/>
    </xf>
    <xf numFmtId="14" fontId="31" fillId="0" borderId="1" xfId="0" applyNumberFormat="1" applyFont="1" applyBorder="1" applyAlignment="1">
      <alignment horizontal="center" vertical="center"/>
    </xf>
    <xf numFmtId="41" fontId="31" fillId="0" borderId="7" xfId="1" applyFont="1" applyBorder="1"/>
    <xf numFmtId="41" fontId="31" fillId="0" borderId="7" xfId="1" applyFont="1" applyFill="1" applyBorder="1" applyAlignment="1">
      <alignment horizontal="center" vertical="center"/>
    </xf>
    <xf numFmtId="0" fontId="31" fillId="0" borderId="0" xfId="0" applyNumberFormat="1" applyFont="1" applyBorder="1" applyAlignment="1">
      <alignment horizontal="center" vertical="center" wrapText="1"/>
    </xf>
    <xf numFmtId="0" fontId="31" fillId="0" borderId="0" xfId="0" applyFont="1" applyBorder="1" applyAlignment="1">
      <alignment horizontal="left" vertical="center" wrapText="1"/>
    </xf>
    <xf numFmtId="165" fontId="31" fillId="0" borderId="0" xfId="0" applyNumberFormat="1" applyFont="1" applyBorder="1" applyAlignment="1">
      <alignment horizontal="center" vertical="center"/>
    </xf>
    <xf numFmtId="41" fontId="31" fillId="0" borderId="0" xfId="0" applyNumberFormat="1" applyFont="1" applyBorder="1" applyAlignment="1">
      <alignment horizontal="center" vertical="center"/>
    </xf>
    <xf numFmtId="49" fontId="31" fillId="0" borderId="1" xfId="0" applyNumberFormat="1" applyFont="1" applyFill="1" applyBorder="1" applyAlignment="1">
      <alignment horizontal="center" vertical="center" wrapText="1"/>
    </xf>
    <xf numFmtId="14" fontId="31" fillId="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4" fillId="0" borderId="0" xfId="0" applyFont="1"/>
    <xf numFmtId="0" fontId="31" fillId="0" borderId="1" xfId="1" applyNumberFormat="1" applyFont="1" applyFill="1" applyBorder="1" applyAlignment="1">
      <alignment horizontal="center" vertical="center" wrapText="1"/>
    </xf>
    <xf numFmtId="0" fontId="31" fillId="0" borderId="1" xfId="1" applyNumberFormat="1" applyFont="1" applyFill="1" applyBorder="1" applyAlignment="1">
      <alignment horizontal="center" vertical="center"/>
    </xf>
    <xf numFmtId="0" fontId="31" fillId="0" borderId="1" xfId="0" applyNumberFormat="1" applyFont="1" applyFill="1" applyBorder="1" applyAlignment="1">
      <alignment horizontal="center" vertical="center"/>
    </xf>
    <xf numFmtId="41" fontId="31" fillId="0" borderId="1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25" fillId="0" borderId="0" xfId="0" applyFont="1" applyAlignment="1">
      <alignment horizontal="left" vertical="center"/>
    </xf>
    <xf numFmtId="41" fontId="25" fillId="0" borderId="1" xfId="1" applyFont="1" applyBorder="1" applyAlignment="1">
      <alignment horizontal="center" vertical="center" wrapText="1"/>
    </xf>
    <xf numFmtId="41" fontId="31" fillId="0" borderId="1" xfId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45" fillId="0" borderId="0" xfId="0" applyFont="1"/>
    <xf numFmtId="41" fontId="31" fillId="0" borderId="1" xfId="1" applyNumberFormat="1" applyFont="1" applyBorder="1" applyAlignment="1">
      <alignment horizontal="left" vertical="center"/>
    </xf>
    <xf numFmtId="0" fontId="33" fillId="0" borderId="0" xfId="0" applyFont="1"/>
    <xf numFmtId="41" fontId="31" fillId="0" borderId="1" xfId="0" applyNumberFormat="1" applyFont="1" applyBorder="1" applyAlignment="1">
      <alignment horizontal="left" vertical="center"/>
    </xf>
    <xf numFmtId="41" fontId="31" fillId="0" borderId="1" xfId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14" fontId="28" fillId="0" borderId="1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0" fontId="33" fillId="0" borderId="1" xfId="0" applyFont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/>
    </xf>
    <xf numFmtId="0" fontId="48" fillId="0" borderId="0" xfId="0" applyFont="1"/>
    <xf numFmtId="49" fontId="28" fillId="0" borderId="1" xfId="0" applyNumberFormat="1" applyFont="1" applyBorder="1" applyAlignment="1">
      <alignment horizontal="center" vertical="center" wrapText="1"/>
    </xf>
    <xf numFmtId="41" fontId="28" fillId="0" borderId="1" xfId="1" applyNumberFormat="1" applyFont="1" applyFill="1" applyBorder="1" applyAlignment="1">
      <alignment horizontal="right" vertical="center"/>
    </xf>
    <xf numFmtId="41" fontId="28" fillId="0" borderId="1" xfId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wrapText="1"/>
    </xf>
    <xf numFmtId="0" fontId="28" fillId="0" borderId="1" xfId="0" applyFont="1" applyFill="1" applyBorder="1" applyAlignment="1">
      <alignment horizontal="center" vertical="center"/>
    </xf>
    <xf numFmtId="41" fontId="28" fillId="0" borderId="1" xfId="0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14" fontId="48" fillId="0" borderId="1" xfId="0" applyNumberFormat="1" applyFont="1" applyBorder="1" applyAlignment="1">
      <alignment horizontal="center" vertical="center" wrapText="1"/>
    </xf>
    <xf numFmtId="41" fontId="31" fillId="0" borderId="1" xfId="1" applyFont="1" applyFill="1" applyBorder="1" applyAlignment="1">
      <alignment horizontal="center" vertical="center" wrapText="1"/>
    </xf>
    <xf numFmtId="0" fontId="49" fillId="0" borderId="0" xfId="0" applyFont="1"/>
    <xf numFmtId="0" fontId="50" fillId="0" borderId="0" xfId="0" applyFont="1"/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/>
    <xf numFmtId="0" fontId="28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vertical="center" wrapText="1"/>
    </xf>
    <xf numFmtId="15" fontId="52" fillId="0" borderId="1" xfId="1" applyNumberFormat="1" applyFont="1" applyBorder="1" applyAlignment="1">
      <alignment horizontal="center" vertical="center"/>
    </xf>
    <xf numFmtId="41" fontId="52" fillId="0" borderId="1" xfId="1" applyFont="1" applyBorder="1" applyAlignment="1">
      <alignment horizontal="right" vertical="center"/>
    </xf>
    <xf numFmtId="0" fontId="52" fillId="0" borderId="1" xfId="0" applyFont="1" applyBorder="1" applyAlignment="1">
      <alignment vertical="center"/>
    </xf>
    <xf numFmtId="0" fontId="52" fillId="0" borderId="1" xfId="0" applyFont="1" applyBorder="1" applyAlignment="1">
      <alignment horizontal="center"/>
    </xf>
    <xf numFmtId="0" fontId="52" fillId="0" borderId="1" xfId="0" applyFont="1" applyBorder="1"/>
    <xf numFmtId="41" fontId="52" fillId="0" borderId="1" xfId="1" applyFont="1" applyBorder="1" applyAlignment="1">
      <alignment horizontal="right"/>
    </xf>
    <xf numFmtId="41" fontId="53" fillId="0" borderId="1" xfId="1" applyFont="1" applyBorder="1" applyAlignment="1">
      <alignment horizontal="right"/>
    </xf>
    <xf numFmtId="0" fontId="42" fillId="0" borderId="1" xfId="0" applyFont="1" applyBorder="1" applyAlignment="1">
      <alignment horizontal="center" vertical="center" wrapText="1"/>
    </xf>
    <xf numFmtId="0" fontId="54" fillId="0" borderId="0" xfId="0" applyFont="1"/>
    <xf numFmtId="165" fontId="48" fillId="0" borderId="1" xfId="0" applyNumberFormat="1" applyFont="1" applyBorder="1" applyAlignment="1">
      <alignment horizontal="center" vertical="center"/>
    </xf>
    <xf numFmtId="41" fontId="48" fillId="0" borderId="1" xfId="0" applyNumberFormat="1" applyFont="1" applyBorder="1" applyAlignment="1">
      <alignment horizontal="center" vertical="center"/>
    </xf>
    <xf numFmtId="165" fontId="28" fillId="0" borderId="1" xfId="1" applyNumberFormat="1" applyFont="1" applyBorder="1" applyAlignment="1">
      <alignment horizontal="center" vertical="center"/>
    </xf>
    <xf numFmtId="41" fontId="28" fillId="0" borderId="1" xfId="1" applyNumberFormat="1" applyFont="1" applyBorder="1" applyAlignment="1">
      <alignment horizontal="center" vertical="center"/>
    </xf>
    <xf numFmtId="0" fontId="28" fillId="0" borderId="0" xfId="0" applyFont="1" applyAlignment="1"/>
    <xf numFmtId="41" fontId="26" fillId="0" borderId="0" xfId="0" applyNumberFormat="1" applyFont="1"/>
    <xf numFmtId="0" fontId="50" fillId="0" borderId="0" xfId="0" applyFont="1" applyAlignment="1"/>
    <xf numFmtId="0" fontId="50" fillId="0" borderId="0" xfId="0" applyFont="1" applyAlignment="1">
      <alignment horizontal="center"/>
    </xf>
    <xf numFmtId="0" fontId="50" fillId="0" borderId="0" xfId="0" applyFont="1" applyAlignment="1">
      <alignment horizontal="center" vertical="center"/>
    </xf>
    <xf numFmtId="0" fontId="47" fillId="0" borderId="0" xfId="0" applyFont="1"/>
    <xf numFmtId="0" fontId="37" fillId="0" borderId="1" xfId="0" applyFont="1" applyBorder="1" applyAlignment="1">
      <alignment horizontal="center" vertical="center" wrapText="1"/>
    </xf>
    <xf numFmtId="0" fontId="55" fillId="0" borderId="0" xfId="0" applyFont="1"/>
    <xf numFmtId="0" fontId="33" fillId="0" borderId="1" xfId="0" applyFont="1" applyBorder="1" applyAlignment="1">
      <alignment horizontal="center" wrapText="1"/>
    </xf>
    <xf numFmtId="0" fontId="33" fillId="0" borderId="0" xfId="0" applyFont="1" applyFill="1"/>
    <xf numFmtId="0" fontId="28" fillId="0" borderId="1" xfId="0" applyFont="1" applyFill="1" applyBorder="1" applyAlignment="1">
      <alignment vertical="center"/>
    </xf>
    <xf numFmtId="0" fontId="50" fillId="0" borderId="0" xfId="0" applyFont="1" applyFill="1"/>
    <xf numFmtId="41" fontId="28" fillId="0" borderId="1" xfId="1" applyNumberFormat="1" applyFont="1" applyFill="1" applyBorder="1" applyAlignment="1">
      <alignment horizontal="center" vertical="center"/>
    </xf>
    <xf numFmtId="41" fontId="26" fillId="0" borderId="1" xfId="1" applyNumberFormat="1" applyFont="1" applyFill="1" applyBorder="1" applyAlignment="1">
      <alignment horizontal="center" vertical="center"/>
    </xf>
    <xf numFmtId="41" fontId="31" fillId="0" borderId="1" xfId="1" applyFont="1" applyFill="1" applyBorder="1" applyAlignment="1">
      <alignment horizontal="center"/>
    </xf>
    <xf numFmtId="41" fontId="2" fillId="0" borderId="1" xfId="1" applyFont="1" applyFill="1" applyBorder="1" applyAlignment="1">
      <alignment horizontal="center"/>
    </xf>
    <xf numFmtId="41" fontId="31" fillId="0" borderId="1" xfId="1" applyFont="1" applyFill="1" applyBorder="1" applyAlignment="1"/>
    <xf numFmtId="0" fontId="27" fillId="0" borderId="1" xfId="0" applyFont="1" applyBorder="1" applyAlignment="1">
      <alignment horizontal="center" wrapText="1"/>
    </xf>
    <xf numFmtId="165" fontId="31" fillId="0" borderId="1" xfId="0" applyNumberFormat="1" applyFont="1" applyBorder="1" applyAlignment="1">
      <alignment horizontal="center" vertical="center" wrapText="1"/>
    </xf>
    <xf numFmtId="165" fontId="31" fillId="0" borderId="1" xfId="0" applyNumberFormat="1" applyFont="1" applyBorder="1" applyAlignment="1">
      <alignment horizontal="center" wrapText="1"/>
    </xf>
    <xf numFmtId="0" fontId="27" fillId="0" borderId="9" xfId="0" applyFont="1" applyBorder="1" applyAlignment="1">
      <alignment horizontal="center" vertical="center" wrapText="1"/>
    </xf>
    <xf numFmtId="165" fontId="28" fillId="0" borderId="9" xfId="0" applyNumberFormat="1" applyFont="1" applyBorder="1" applyAlignment="1">
      <alignment horizontal="center" vertical="center" wrapText="1"/>
    </xf>
    <xf numFmtId="165" fontId="28" fillId="0" borderId="9" xfId="0" applyNumberFormat="1" applyFont="1" applyBorder="1" applyAlignment="1">
      <alignment horizontal="center" wrapText="1"/>
    </xf>
    <xf numFmtId="165" fontId="28" fillId="0" borderId="1" xfId="0" applyNumberFormat="1" applyFont="1" applyBorder="1" applyAlignment="1">
      <alignment horizontal="center" wrapText="1"/>
    </xf>
    <xf numFmtId="0" fontId="50" fillId="0" borderId="1" xfId="0" applyFont="1" applyFill="1" applyBorder="1"/>
    <xf numFmtId="0" fontId="28" fillId="0" borderId="13" xfId="0" applyFont="1" applyFill="1" applyBorder="1"/>
    <xf numFmtId="0" fontId="28" fillId="0" borderId="0" xfId="0" applyFont="1" applyBorder="1" applyAlignment="1">
      <alignment horizontal="center" wrapText="1"/>
    </xf>
    <xf numFmtId="0" fontId="28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 wrapText="1"/>
    </xf>
    <xf numFmtId="165" fontId="28" fillId="0" borderId="0" xfId="0" applyNumberFormat="1" applyFont="1" applyFill="1" applyBorder="1" applyAlignment="1">
      <alignment horizontal="center" vertical="center"/>
    </xf>
    <xf numFmtId="41" fontId="28" fillId="0" borderId="0" xfId="0" applyNumberFormat="1" applyFont="1" applyFill="1" applyBorder="1" applyAlignment="1">
      <alignment horizontal="center" vertical="center"/>
    </xf>
    <xf numFmtId="0" fontId="28" fillId="0" borderId="0" xfId="0" applyFont="1" applyFill="1" applyBorder="1"/>
    <xf numFmtId="0" fontId="50" fillId="0" borderId="0" xfId="0" applyFont="1" applyFill="1" applyBorder="1"/>
    <xf numFmtId="165" fontId="33" fillId="0" borderId="1" xfId="0" applyNumberFormat="1" applyFont="1" applyBorder="1" applyAlignment="1">
      <alignment horizontal="center" wrapText="1"/>
    </xf>
    <xf numFmtId="41" fontId="33" fillId="0" borderId="1" xfId="1" applyNumberFormat="1" applyFont="1" applyFill="1" applyBorder="1" applyAlignment="1">
      <alignment horizontal="center" vertical="center"/>
    </xf>
    <xf numFmtId="41" fontId="35" fillId="0" borderId="1" xfId="1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31" fillId="0" borderId="1" xfId="0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/>
    <xf numFmtId="0" fontId="57" fillId="0" borderId="0" xfId="0" applyFont="1"/>
    <xf numFmtId="43" fontId="31" fillId="0" borderId="1" xfId="1" applyNumberFormat="1" applyFont="1" applyFill="1" applyBorder="1" applyAlignment="1">
      <alignment horizontal="right" vertical="center"/>
    </xf>
    <xf numFmtId="0" fontId="34" fillId="0" borderId="9" xfId="0" applyFont="1" applyBorder="1" applyAlignment="1">
      <alignment horizontal="center" vertical="center" wrapText="1"/>
    </xf>
    <xf numFmtId="49" fontId="28" fillId="0" borderId="9" xfId="0" applyNumberFormat="1" applyFont="1" applyBorder="1" applyAlignment="1">
      <alignment horizontal="center" vertical="center" wrapText="1"/>
    </xf>
    <xf numFmtId="0" fontId="28" fillId="0" borderId="9" xfId="0" applyNumberFormat="1" applyFont="1" applyBorder="1" applyAlignment="1">
      <alignment horizontal="center" vertical="center" wrapText="1"/>
    </xf>
    <xf numFmtId="0" fontId="50" fillId="0" borderId="1" xfId="0" applyNumberFormat="1" applyFont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left" vertical="center" wrapText="1"/>
    </xf>
    <xf numFmtId="165" fontId="50" fillId="0" borderId="1" xfId="0" applyNumberFormat="1" applyFont="1" applyFill="1" applyBorder="1" applyAlignment="1">
      <alignment horizontal="center" vertical="center"/>
    </xf>
    <xf numFmtId="41" fontId="50" fillId="0" borderId="1" xfId="0" applyNumberFormat="1" applyFont="1" applyFill="1" applyBorder="1" applyAlignment="1">
      <alignment horizontal="center" vertical="center"/>
    </xf>
    <xf numFmtId="0" fontId="50" fillId="0" borderId="0" xfId="0" applyFont="1" applyAlignment="1">
      <alignment vertical="center"/>
    </xf>
    <xf numFmtId="43" fontId="25" fillId="0" borderId="1" xfId="1" applyNumberFormat="1" applyFont="1" applyFill="1" applyBorder="1" applyAlignment="1">
      <alignment horizontal="right" vertical="center"/>
    </xf>
    <xf numFmtId="49" fontId="50" fillId="0" borderId="1" xfId="0" applyNumberFormat="1" applyFont="1" applyBorder="1" applyAlignment="1">
      <alignment horizontal="center" vertical="center" wrapText="1"/>
    </xf>
    <xf numFmtId="165" fontId="50" fillId="0" borderId="1" xfId="1" applyNumberFormat="1" applyFont="1" applyFill="1" applyBorder="1" applyAlignment="1">
      <alignment horizontal="center" vertical="center"/>
    </xf>
    <xf numFmtId="41" fontId="50" fillId="0" borderId="1" xfId="1" applyNumberFormat="1" applyFont="1" applyFill="1" applyBorder="1" applyAlignment="1">
      <alignment horizontal="right" vertical="center"/>
    </xf>
    <xf numFmtId="14" fontId="31" fillId="0" borderId="9" xfId="0" applyNumberFormat="1" applyFont="1" applyBorder="1" applyAlignment="1">
      <alignment horizontal="center" vertical="center" wrapText="1"/>
    </xf>
    <xf numFmtId="41" fontId="58" fillId="0" borderId="1" xfId="1" applyNumberFormat="1" applyFont="1" applyFill="1" applyBorder="1" applyAlignment="1">
      <alignment horizontal="right" vertical="center"/>
    </xf>
    <xf numFmtId="0" fontId="50" fillId="0" borderId="1" xfId="0" applyFont="1" applyFill="1" applyBorder="1" applyAlignment="1">
      <alignment wrapText="1"/>
    </xf>
    <xf numFmtId="14" fontId="33" fillId="0" borderId="1" xfId="0" applyNumberFormat="1" applyFont="1" applyBorder="1" applyAlignment="1">
      <alignment horizontal="center" vertical="center" wrapText="1"/>
    </xf>
    <xf numFmtId="41" fontId="33" fillId="0" borderId="1" xfId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wrapText="1"/>
    </xf>
    <xf numFmtId="1" fontId="31" fillId="0" borderId="1" xfId="0" applyNumberFormat="1" applyFont="1" applyBorder="1" applyAlignment="1">
      <alignment horizontal="center" vertical="center" wrapText="1"/>
    </xf>
    <xf numFmtId="41" fontId="29" fillId="0" borderId="1" xfId="1" applyNumberFormat="1" applyFont="1" applyFill="1" applyBorder="1" applyAlignment="1">
      <alignment horizontal="right" vertical="center"/>
    </xf>
    <xf numFmtId="0" fontId="50" fillId="0" borderId="1" xfId="0" applyFont="1" applyBorder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33" fillId="0" borderId="1" xfId="0" applyFont="1" applyFill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right" vertical="center"/>
    </xf>
    <xf numFmtId="164" fontId="35" fillId="0" borderId="1" xfId="1" applyNumberFormat="1" applyFont="1" applyFill="1" applyBorder="1" applyAlignment="1">
      <alignment horizontal="right" vertical="center"/>
    </xf>
    <xf numFmtId="0" fontId="48" fillId="3" borderId="1" xfId="0" applyFont="1" applyFill="1" applyBorder="1" applyAlignment="1">
      <alignment horizontal="center" vertical="center"/>
    </xf>
    <xf numFmtId="14" fontId="48" fillId="3" borderId="1" xfId="0" applyNumberFormat="1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left" vertical="top" wrapText="1"/>
    </xf>
    <xf numFmtId="165" fontId="48" fillId="3" borderId="1" xfId="1" applyNumberFormat="1" applyFont="1" applyFill="1" applyBorder="1" applyAlignment="1">
      <alignment horizontal="center" vertical="center"/>
    </xf>
    <xf numFmtId="41" fontId="48" fillId="3" borderId="1" xfId="1" applyNumberFormat="1" applyFont="1" applyFill="1" applyBorder="1" applyAlignment="1">
      <alignment horizontal="right" vertical="center"/>
    </xf>
    <xf numFmtId="0" fontId="48" fillId="3" borderId="1" xfId="0" applyFont="1" applyFill="1" applyBorder="1" applyAlignment="1">
      <alignment vertical="center"/>
    </xf>
    <xf numFmtId="0" fontId="48" fillId="3" borderId="1" xfId="0" applyFont="1" applyFill="1" applyBorder="1"/>
    <xf numFmtId="0" fontId="48" fillId="3" borderId="1" xfId="0" applyFont="1" applyFill="1" applyBorder="1" applyAlignment="1">
      <alignment horizontal="left" wrapText="1"/>
    </xf>
    <xf numFmtId="41" fontId="48" fillId="3" borderId="1" xfId="1" applyNumberFormat="1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left" vertical="center" wrapText="1"/>
    </xf>
    <xf numFmtId="14" fontId="48" fillId="2" borderId="1" xfId="0" applyNumberFormat="1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left" wrapText="1"/>
    </xf>
    <xf numFmtId="165" fontId="48" fillId="2" borderId="1" xfId="1" applyNumberFormat="1" applyFont="1" applyFill="1" applyBorder="1" applyAlignment="1">
      <alignment horizontal="center" vertical="center"/>
    </xf>
    <xf numFmtId="41" fontId="48" fillId="2" borderId="1" xfId="1" applyNumberFormat="1" applyFont="1" applyFill="1" applyBorder="1" applyAlignment="1">
      <alignment horizontal="center" vertical="center"/>
    </xf>
    <xf numFmtId="0" fontId="48" fillId="2" borderId="1" xfId="0" applyFont="1" applyFill="1" applyBorder="1"/>
    <xf numFmtId="165" fontId="48" fillId="2" borderId="1" xfId="0" applyNumberFormat="1" applyFont="1" applyFill="1" applyBorder="1" applyAlignment="1">
      <alignment horizontal="center" vertical="center"/>
    </xf>
    <xf numFmtId="41" fontId="48" fillId="2" borderId="1" xfId="0" applyNumberFormat="1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wrapText="1"/>
    </xf>
    <xf numFmtId="0" fontId="48" fillId="0" borderId="1" xfId="0" applyFont="1" applyBorder="1" applyAlignment="1">
      <alignment horizontal="left"/>
    </xf>
    <xf numFmtId="41" fontId="29" fillId="0" borderId="1" xfId="0" applyNumberFormat="1" applyFont="1" applyBorder="1" applyAlignment="1">
      <alignment horizontal="center" vertical="center"/>
    </xf>
    <xf numFmtId="41" fontId="29" fillId="0" borderId="1" xfId="0" applyNumberFormat="1" applyFont="1" applyBorder="1"/>
    <xf numFmtId="0" fontId="61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31" fillId="0" borderId="2" xfId="0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41" fontId="13" fillId="0" borderId="1" xfId="0" applyNumberFormat="1" applyFont="1" applyFill="1" applyBorder="1" applyAlignment="1">
      <alignment horizontal="center" vertical="center"/>
    </xf>
    <xf numFmtId="41" fontId="13" fillId="0" borderId="1" xfId="1" applyNumberFormat="1" applyFont="1" applyFill="1" applyBorder="1" applyAlignment="1">
      <alignment horizontal="right" vertical="center"/>
    </xf>
    <xf numFmtId="41" fontId="13" fillId="0" borderId="1" xfId="1" applyFont="1" applyFill="1" applyBorder="1" applyAlignment="1">
      <alignment horizontal="center" vertical="center" wrapText="1"/>
    </xf>
    <xf numFmtId="0" fontId="13" fillId="0" borderId="1" xfId="0" applyFont="1" applyFill="1" applyBorder="1"/>
    <xf numFmtId="41" fontId="13" fillId="0" borderId="1" xfId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41" fontId="62" fillId="0" borderId="1" xfId="1" applyNumberFormat="1" applyFont="1" applyFill="1" applyBorder="1" applyAlignment="1">
      <alignment horizontal="right" vertical="center"/>
    </xf>
    <xf numFmtId="0" fontId="28" fillId="0" borderId="0" xfId="0" applyFont="1" applyFill="1"/>
    <xf numFmtId="165" fontId="31" fillId="0" borderId="4" xfId="1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 wrapText="1"/>
    </xf>
    <xf numFmtId="0" fontId="8" fillId="0" borderId="0" xfId="0" applyFont="1" applyBorder="1"/>
    <xf numFmtId="0" fontId="31" fillId="0" borderId="0" xfId="0" applyFont="1" applyFill="1" applyBorder="1" applyAlignment="1">
      <alignment horizontal="center" vertical="center"/>
    </xf>
    <xf numFmtId="0" fontId="31" fillId="0" borderId="0" xfId="0" applyNumberFormat="1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center" wrapText="1"/>
    </xf>
    <xf numFmtId="165" fontId="31" fillId="0" borderId="0" xfId="0" applyNumberFormat="1" applyFont="1" applyFill="1" applyBorder="1" applyAlignment="1">
      <alignment horizontal="center" vertical="center"/>
    </xf>
    <xf numFmtId="41" fontId="25" fillId="0" borderId="0" xfId="0" applyNumberFormat="1" applyFont="1" applyFill="1" applyBorder="1" applyAlignment="1">
      <alignment horizontal="center" vertical="center"/>
    </xf>
    <xf numFmtId="0" fontId="31" fillId="0" borderId="0" xfId="0" applyFont="1" applyFill="1" applyBorder="1"/>
    <xf numFmtId="0" fontId="8" fillId="0" borderId="0" xfId="0" applyFont="1" applyFill="1" applyBorder="1"/>
    <xf numFmtId="41" fontId="31" fillId="0" borderId="1" xfId="0" applyNumberFormat="1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49" fontId="48" fillId="0" borderId="1" xfId="0" applyNumberFormat="1" applyFont="1" applyBorder="1" applyAlignment="1">
      <alignment horizontal="center" vertical="center" wrapText="1"/>
    </xf>
    <xf numFmtId="0" fontId="48" fillId="0" borderId="1" xfId="0" applyFont="1" applyFill="1" applyBorder="1" applyAlignment="1">
      <alignment horizontal="center" vertical="center" wrapText="1"/>
    </xf>
    <xf numFmtId="41" fontId="48" fillId="0" borderId="1" xfId="1" applyNumberFormat="1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left" vertical="center" wrapText="1"/>
    </xf>
    <xf numFmtId="165" fontId="48" fillId="0" borderId="1" xfId="1" applyNumberFormat="1" applyFont="1" applyFill="1" applyBorder="1" applyAlignment="1">
      <alignment horizontal="center" vertical="center"/>
    </xf>
    <xf numFmtId="41" fontId="48" fillId="0" borderId="1" xfId="1" applyFont="1" applyFill="1" applyBorder="1" applyAlignment="1">
      <alignment horizontal="center" vertical="center"/>
    </xf>
    <xf numFmtId="0" fontId="28" fillId="0" borderId="1" xfId="0" applyNumberFormat="1" applyFont="1" applyBorder="1" applyAlignment="1">
      <alignment horizontal="center" vertical="center" wrapText="1"/>
    </xf>
    <xf numFmtId="0" fontId="7" fillId="0" borderId="0" xfId="0" applyFont="1" applyBorder="1"/>
    <xf numFmtId="41" fontId="2" fillId="0" borderId="0" xfId="1" applyNumberFormat="1" applyFont="1" applyFill="1" applyBorder="1" applyAlignment="1">
      <alignment horizontal="right" vertical="center"/>
    </xf>
    <xf numFmtId="41" fontId="2" fillId="0" borderId="0" xfId="0" applyNumberFormat="1" applyFont="1" applyBorder="1"/>
    <xf numFmtId="0" fontId="2" fillId="0" borderId="0" xfId="0" applyFont="1" applyFill="1" applyBorder="1"/>
    <xf numFmtId="0" fontId="5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7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/>
    </xf>
    <xf numFmtId="165" fontId="31" fillId="0" borderId="3" xfId="0" applyNumberFormat="1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17" fontId="31" fillId="0" borderId="2" xfId="0" applyNumberFormat="1" applyFont="1" applyBorder="1" applyAlignment="1">
      <alignment horizontal="center" vertical="center"/>
    </xf>
    <xf numFmtId="165" fontId="31" fillId="0" borderId="2" xfId="1" applyNumberFormat="1" applyFont="1" applyBorder="1" applyAlignment="1">
      <alignment horizontal="center" vertical="center"/>
    </xf>
    <xf numFmtId="165" fontId="31" fillId="0" borderId="3" xfId="1" applyNumberFormat="1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49" fontId="31" fillId="0" borderId="2" xfId="0" applyNumberFormat="1" applyFont="1" applyBorder="1" applyAlignment="1">
      <alignment horizontal="center" vertical="center" wrapText="1"/>
    </xf>
    <xf numFmtId="49" fontId="31" fillId="0" borderId="3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14" fontId="31" fillId="0" borderId="2" xfId="0" applyNumberFormat="1" applyFont="1" applyBorder="1" applyAlignment="1">
      <alignment horizontal="center" vertical="center" wrapText="1"/>
    </xf>
    <xf numFmtId="14" fontId="31" fillId="0" borderId="3" xfId="0" applyNumberFormat="1" applyFont="1" applyBorder="1" applyAlignment="1">
      <alignment horizontal="center" vertical="center" wrapText="1"/>
    </xf>
    <xf numFmtId="1" fontId="31" fillId="0" borderId="2" xfId="0" applyNumberFormat="1" applyFont="1" applyBorder="1" applyAlignment="1">
      <alignment horizontal="center" vertical="center" wrapText="1"/>
    </xf>
    <xf numFmtId="1" fontId="31" fillId="0" borderId="3" xfId="0" applyNumberFormat="1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41" fontId="31" fillId="0" borderId="2" xfId="1" applyNumberFormat="1" applyFont="1" applyFill="1" applyBorder="1" applyAlignment="1">
      <alignment horizontal="center" vertical="center"/>
    </xf>
    <xf numFmtId="41" fontId="31" fillId="0" borderId="3" xfId="1" applyNumberFormat="1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31" fillId="0" borderId="2" xfId="0" applyNumberFormat="1" applyFont="1" applyFill="1" applyBorder="1" applyAlignment="1">
      <alignment horizontal="center" vertical="center"/>
    </xf>
    <xf numFmtId="165" fontId="31" fillId="0" borderId="3" xfId="0" applyNumberFormat="1" applyFont="1" applyFill="1" applyBorder="1" applyAlignment="1">
      <alignment horizontal="center" vertical="center"/>
    </xf>
    <xf numFmtId="1" fontId="31" fillId="0" borderId="2" xfId="0" applyNumberFormat="1" applyFont="1" applyFill="1" applyBorder="1" applyAlignment="1">
      <alignment horizontal="center" vertical="center"/>
    </xf>
    <xf numFmtId="1" fontId="31" fillId="0" borderId="3" xfId="0" applyNumberFormat="1" applyFont="1" applyFill="1" applyBorder="1" applyAlignment="1">
      <alignment horizontal="center" vertical="center"/>
    </xf>
    <xf numFmtId="1" fontId="31" fillId="0" borderId="2" xfId="1" applyNumberFormat="1" applyFont="1" applyFill="1" applyBorder="1" applyAlignment="1">
      <alignment horizontal="center" vertical="center" wrapText="1"/>
    </xf>
    <xf numFmtId="1" fontId="31" fillId="0" borderId="3" xfId="1" applyNumberFormat="1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14" fontId="31" fillId="0" borderId="2" xfId="0" applyNumberFormat="1" applyFont="1" applyFill="1" applyBorder="1" applyAlignment="1">
      <alignment horizontal="center" vertical="center" wrapText="1"/>
    </xf>
    <xf numFmtId="14" fontId="31" fillId="0" borderId="3" xfId="0" applyNumberFormat="1" applyFont="1" applyFill="1" applyBorder="1" applyAlignment="1">
      <alignment horizontal="center" vertical="center" wrapText="1"/>
    </xf>
    <xf numFmtId="49" fontId="31" fillId="0" borderId="2" xfId="0" applyNumberFormat="1" applyFont="1" applyFill="1" applyBorder="1" applyAlignment="1">
      <alignment horizontal="center" vertical="center" wrapText="1"/>
    </xf>
    <xf numFmtId="49" fontId="31" fillId="0" borderId="3" xfId="0" applyNumberFormat="1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/>
    </xf>
    <xf numFmtId="0" fontId="31" fillId="0" borderId="3" xfId="0" applyFont="1" applyFill="1" applyBorder="1" applyAlignment="1">
      <alignment horizontal="center" vertical="center"/>
    </xf>
    <xf numFmtId="0" fontId="31" fillId="0" borderId="7" xfId="0" applyFont="1" applyFill="1" applyBorder="1" applyAlignment="1">
      <alignment horizontal="center"/>
    </xf>
    <xf numFmtId="0" fontId="31" fillId="0" borderId="8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31" fillId="0" borderId="4" xfId="0" applyFont="1" applyFill="1" applyBorder="1" applyAlignment="1">
      <alignment horizontal="center" vertical="center"/>
    </xf>
    <xf numFmtId="0" fontId="31" fillId="0" borderId="2" xfId="0" applyNumberFormat="1" applyFont="1" applyBorder="1" applyAlignment="1">
      <alignment horizontal="center" vertical="center" wrapText="1"/>
    </xf>
    <xf numFmtId="0" fontId="31" fillId="0" borderId="4" xfId="0" applyNumberFormat="1" applyFont="1" applyBorder="1" applyAlignment="1">
      <alignment horizontal="center" vertical="center" wrapText="1"/>
    </xf>
    <xf numFmtId="0" fontId="31" fillId="0" borderId="3" xfId="0" applyNumberFormat="1" applyFont="1" applyBorder="1" applyAlignment="1">
      <alignment horizontal="center" vertical="center" wrapText="1"/>
    </xf>
    <xf numFmtId="49" fontId="31" fillId="0" borderId="4" xfId="0" applyNumberFormat="1" applyFont="1" applyBorder="1" applyAlignment="1">
      <alignment horizontal="center" vertical="center" wrapText="1"/>
    </xf>
    <xf numFmtId="49" fontId="31" fillId="0" borderId="7" xfId="0" applyNumberFormat="1" applyFont="1" applyBorder="1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41" fontId="31" fillId="0" borderId="2" xfId="0" applyNumberFormat="1" applyFont="1" applyFill="1" applyBorder="1" applyAlignment="1">
      <alignment horizontal="center" vertical="center" wrapText="1"/>
    </xf>
    <xf numFmtId="41" fontId="31" fillId="0" borderId="4" xfId="0" applyNumberFormat="1" applyFont="1" applyFill="1" applyBorder="1" applyAlignment="1">
      <alignment horizontal="center" vertical="center"/>
    </xf>
    <xf numFmtId="41" fontId="31" fillId="0" borderId="3" xfId="0" applyNumberFormat="1" applyFont="1" applyFill="1" applyBorder="1" applyAlignment="1">
      <alignment horizontal="center" vertical="center"/>
    </xf>
    <xf numFmtId="41" fontId="31" fillId="0" borderId="2" xfId="0" applyNumberFormat="1" applyFont="1" applyFill="1" applyBorder="1" applyAlignment="1">
      <alignment horizontal="center" vertical="center"/>
    </xf>
    <xf numFmtId="0" fontId="31" fillId="0" borderId="7" xfId="0" applyNumberFormat="1" applyFont="1" applyBorder="1" applyAlignment="1">
      <alignment horizontal="center" vertical="center" wrapText="1"/>
    </xf>
    <xf numFmtId="0" fontId="31" fillId="0" borderId="8" xfId="0" applyNumberFormat="1" applyFont="1" applyBorder="1" applyAlignment="1">
      <alignment horizontal="center" vertical="center" wrapText="1"/>
    </xf>
    <xf numFmtId="16" fontId="31" fillId="0" borderId="2" xfId="0" applyNumberFormat="1" applyFont="1" applyFill="1" applyBorder="1" applyAlignment="1">
      <alignment horizontal="center" vertical="center"/>
    </xf>
    <xf numFmtId="0" fontId="31" fillId="0" borderId="4" xfId="0" applyNumberFormat="1" applyFont="1" applyFill="1" applyBorder="1" applyAlignment="1">
      <alignment horizontal="center" vertical="center"/>
    </xf>
    <xf numFmtId="0" fontId="31" fillId="0" borderId="3" xfId="0" applyNumberFormat="1" applyFont="1" applyFill="1" applyBorder="1" applyAlignment="1">
      <alignment horizontal="center" vertical="center"/>
    </xf>
    <xf numFmtId="16" fontId="31" fillId="0" borderId="1" xfId="0" applyNumberFormat="1" applyFont="1" applyBorder="1" applyAlignment="1">
      <alignment horizontal="center" vertical="center"/>
    </xf>
    <xf numFmtId="0" fontId="31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2" xfId="0" applyNumberFormat="1" applyFont="1" applyBorder="1" applyAlignment="1">
      <alignment horizontal="center" vertical="center"/>
    </xf>
    <xf numFmtId="0" fontId="31" fillId="0" borderId="4" xfId="0" applyNumberFormat="1" applyFont="1" applyBorder="1" applyAlignment="1">
      <alignment horizontal="center" vertical="center"/>
    </xf>
    <xf numFmtId="0" fontId="31" fillId="0" borderId="3" xfId="0" applyNumberFormat="1" applyFont="1" applyBorder="1" applyAlignment="1">
      <alignment horizontal="center" vertical="center"/>
    </xf>
    <xf numFmtId="16" fontId="31" fillId="0" borderId="2" xfId="0" applyNumberFormat="1" applyFont="1" applyBorder="1" applyAlignment="1">
      <alignment horizontal="center" vertical="center"/>
    </xf>
    <xf numFmtId="16" fontId="31" fillId="0" borderId="11" xfId="0" applyNumberFormat="1" applyFont="1" applyBorder="1" applyAlignment="1">
      <alignment horizontal="center" vertical="center"/>
    </xf>
    <xf numFmtId="0" fontId="31" fillId="0" borderId="0" xfId="0" applyNumberFormat="1" applyFont="1" applyBorder="1" applyAlignment="1">
      <alignment horizontal="center" vertical="center"/>
    </xf>
    <xf numFmtId="0" fontId="31" fillId="0" borderId="12" xfId="0" applyNumberFormat="1" applyFont="1" applyBorder="1" applyAlignment="1">
      <alignment horizontal="center" vertical="center"/>
    </xf>
    <xf numFmtId="165" fontId="31" fillId="0" borderId="4" xfId="0" applyNumberFormat="1" applyFont="1" applyBorder="1" applyAlignment="1">
      <alignment horizontal="center" vertical="center"/>
    </xf>
    <xf numFmtId="0" fontId="31" fillId="0" borderId="7" xfId="0" applyNumberFormat="1" applyFont="1" applyBorder="1" applyAlignment="1">
      <alignment horizontal="center" vertical="center"/>
    </xf>
    <xf numFmtId="0" fontId="31" fillId="0" borderId="8" xfId="0" applyNumberFormat="1" applyFont="1" applyBorder="1" applyAlignment="1">
      <alignment horizontal="center" vertical="center"/>
    </xf>
    <xf numFmtId="49" fontId="28" fillId="0" borderId="2" xfId="0" applyNumberFormat="1" applyFont="1" applyFill="1" applyBorder="1" applyAlignment="1">
      <alignment horizontal="center" vertical="center" wrapText="1"/>
    </xf>
    <xf numFmtId="49" fontId="28" fillId="0" borderId="3" xfId="0" applyNumberFormat="1" applyFont="1" applyFill="1" applyBorder="1" applyAlignment="1">
      <alignment horizontal="center" vertical="center" wrapText="1"/>
    </xf>
    <xf numFmtId="165" fontId="28" fillId="0" borderId="2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 wrapText="1"/>
    </xf>
    <xf numFmtId="14" fontId="28" fillId="0" borderId="3" xfId="0" applyNumberFormat="1" applyFont="1" applyBorder="1" applyAlignment="1">
      <alignment horizontal="center" vertical="center" wrapText="1"/>
    </xf>
    <xf numFmtId="49" fontId="28" fillId="2" borderId="7" xfId="0" applyNumberFormat="1" applyFont="1" applyFill="1" applyBorder="1" applyAlignment="1">
      <alignment horizontal="center" vertical="center" wrapText="1"/>
    </xf>
    <xf numFmtId="49" fontId="28" fillId="2" borderId="8" xfId="0" applyNumberFormat="1" applyFont="1" applyFill="1" applyBorder="1" applyAlignment="1">
      <alignment horizontal="center" vertical="center" wrapText="1"/>
    </xf>
    <xf numFmtId="49" fontId="28" fillId="2" borderId="9" xfId="0" applyNumberFormat="1" applyFont="1" applyFill="1" applyBorder="1" applyAlignment="1">
      <alignment horizontal="center" vertical="center" wrapText="1"/>
    </xf>
    <xf numFmtId="49" fontId="28" fillId="0" borderId="2" xfId="0" applyNumberFormat="1" applyFont="1" applyBorder="1" applyAlignment="1">
      <alignment horizontal="center" vertical="center" wrapText="1"/>
    </xf>
    <xf numFmtId="49" fontId="28" fillId="0" borderId="3" xfId="0" applyNumberFormat="1" applyFont="1" applyBorder="1" applyAlignment="1">
      <alignment horizontal="center" vertical="center" wrapText="1"/>
    </xf>
    <xf numFmtId="14" fontId="28" fillId="0" borderId="2" xfId="0" applyNumberFormat="1" applyFont="1" applyFill="1" applyBorder="1" applyAlignment="1">
      <alignment horizontal="center" vertical="center" wrapText="1"/>
    </xf>
    <xf numFmtId="14" fontId="28" fillId="0" borderId="3" xfId="0" applyNumberFormat="1" applyFont="1" applyFill="1" applyBorder="1" applyAlignment="1">
      <alignment horizontal="center" vertical="center" wrapText="1"/>
    </xf>
    <xf numFmtId="49" fontId="28" fillId="2" borderId="10" xfId="0" applyNumberFormat="1" applyFont="1" applyFill="1" applyBorder="1" applyAlignment="1">
      <alignment horizontal="center" vertical="center" wrapText="1"/>
    </xf>
    <xf numFmtId="49" fontId="28" fillId="2" borderId="0" xfId="0" applyNumberFormat="1" applyFont="1" applyFill="1" applyBorder="1" applyAlignment="1">
      <alignment horizontal="center" vertical="center" wrapText="1"/>
    </xf>
    <xf numFmtId="0" fontId="63" fillId="0" borderId="0" xfId="0" applyFont="1"/>
    <xf numFmtId="0" fontId="64" fillId="0" borderId="0" xfId="0" applyFont="1" applyAlignment="1">
      <alignment vertical="center"/>
    </xf>
    <xf numFmtId="0" fontId="64" fillId="0" borderId="0" xfId="0" applyFont="1" applyAlignment="1">
      <alignment horizontal="center" vertical="center"/>
    </xf>
    <xf numFmtId="0" fontId="64" fillId="0" borderId="0" xfId="0" applyFont="1" applyAlignment="1">
      <alignment horizontal="center"/>
    </xf>
    <xf numFmtId="0" fontId="64" fillId="0" borderId="0" xfId="0" applyFont="1"/>
    <xf numFmtId="0" fontId="65" fillId="0" borderId="1" xfId="0" applyFont="1" applyBorder="1" applyAlignment="1">
      <alignment horizontal="center" vertical="center" wrapText="1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view="pageBreakPreview" zoomScale="60" zoomScaleNormal="120" workbookViewId="0">
      <selection activeCell="C6" sqref="C6"/>
    </sheetView>
  </sheetViews>
  <sheetFormatPr baseColWidth="10" defaultRowHeight="21"/>
  <cols>
    <col min="1" max="1" width="12.42578125" style="97" customWidth="1"/>
    <col min="2" max="2" width="27.7109375" style="51" customWidth="1"/>
    <col min="3" max="3" width="56.85546875" style="51" customWidth="1"/>
    <col min="4" max="4" width="26.5703125" style="51" customWidth="1"/>
    <col min="5" max="5" width="39" style="51" customWidth="1"/>
    <col min="6" max="6" width="29.28515625" style="51" customWidth="1"/>
    <col min="7" max="7" width="38.42578125" style="51" customWidth="1"/>
    <col min="8" max="16384" width="11.42578125" style="51"/>
  </cols>
  <sheetData>
    <row r="1" spans="1:7" ht="24">
      <c r="A1" s="94"/>
      <c r="B1" s="99"/>
      <c r="C1" s="100"/>
    </row>
    <row r="2" spans="1:7" ht="54.75">
      <c r="A2" s="94"/>
      <c r="B2" s="99"/>
      <c r="C2" s="519" t="s">
        <v>590</v>
      </c>
      <c r="D2" s="519"/>
      <c r="E2" s="519"/>
    </row>
    <row r="3" spans="1:7" ht="24">
      <c r="A3" s="94"/>
      <c r="B3" s="99"/>
      <c r="C3" s="100"/>
    </row>
    <row r="4" spans="1:7">
      <c r="B4" s="51" t="s">
        <v>2</v>
      </c>
    </row>
    <row r="5" spans="1:7" s="342" customFormat="1" ht="79.5">
      <c r="A5" s="332" t="s">
        <v>0</v>
      </c>
      <c r="B5" s="332" t="s">
        <v>587</v>
      </c>
      <c r="C5" s="332" t="s">
        <v>4</v>
      </c>
      <c r="D5" s="332" t="s">
        <v>6</v>
      </c>
      <c r="E5" s="332" t="s">
        <v>5</v>
      </c>
      <c r="F5" s="332" t="s">
        <v>1</v>
      </c>
      <c r="G5" s="332" t="s">
        <v>7</v>
      </c>
    </row>
    <row r="6" spans="1:7" ht="216">
      <c r="A6" s="360">
        <v>1</v>
      </c>
      <c r="B6" s="360" t="s">
        <v>8</v>
      </c>
      <c r="C6" s="361" t="s">
        <v>9</v>
      </c>
      <c r="D6" s="362">
        <v>38828</v>
      </c>
      <c r="E6" s="363">
        <v>1310000</v>
      </c>
      <c r="F6" s="364"/>
      <c r="G6" s="364"/>
    </row>
    <row r="7" spans="1:7" ht="45" customHeight="1">
      <c r="A7" s="365"/>
      <c r="B7" s="366"/>
      <c r="C7" s="366"/>
      <c r="D7" s="367"/>
      <c r="E7" s="368">
        <f>SUM(E6)</f>
        <v>1310000</v>
      </c>
      <c r="F7" s="366"/>
      <c r="G7" s="366"/>
    </row>
  </sheetData>
  <mergeCells count="1">
    <mergeCell ref="C2:E2"/>
  </mergeCells>
  <pageMargins left="0.23622047244094491" right="0.23622047244094491" top="0.74803149606299213" bottom="0.74803149606299213" header="0.31496062992125984" footer="0.31496062992125984"/>
  <pageSetup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view="pageBreakPreview" zoomScale="60" zoomScaleNormal="120" workbookViewId="0">
      <selection activeCell="D17" sqref="D17"/>
    </sheetView>
  </sheetViews>
  <sheetFormatPr baseColWidth="10" defaultRowHeight="15.75"/>
  <cols>
    <col min="1" max="1" width="12.85546875" style="5" customWidth="1"/>
    <col min="2" max="2" width="54.28515625" style="1" customWidth="1"/>
    <col min="3" max="3" width="40.28515625" style="4" customWidth="1"/>
    <col min="4" max="4" width="32.28515625" style="10" customWidth="1"/>
    <col min="5" max="5" width="38.140625" style="1" customWidth="1"/>
    <col min="6" max="6" width="33.42578125" style="1" customWidth="1"/>
    <col min="7" max="7" width="36.28515625" style="1" customWidth="1"/>
    <col min="8" max="8" width="11.42578125" style="1" hidden="1" customWidth="1"/>
    <col min="9" max="16384" width="11.42578125" style="1"/>
  </cols>
  <sheetData>
    <row r="1" spans="1:7" ht="24">
      <c r="A1" s="165"/>
      <c r="B1" s="166"/>
      <c r="C1" s="100"/>
      <c r="D1" s="51"/>
      <c r="E1" s="51"/>
      <c r="F1" s="51"/>
      <c r="G1" s="51"/>
    </row>
    <row r="2" spans="1:7" ht="54.75">
      <c r="A2" s="520" t="s">
        <v>591</v>
      </c>
      <c r="B2" s="520"/>
      <c r="C2" s="520"/>
      <c r="D2" s="520"/>
      <c r="E2" s="520"/>
      <c r="F2" s="520"/>
      <c r="G2" s="520"/>
    </row>
    <row r="3" spans="1:7" ht="24">
      <c r="A3" s="94"/>
      <c r="B3" s="99"/>
      <c r="C3" s="100"/>
      <c r="D3" s="51"/>
      <c r="E3" s="51"/>
      <c r="F3" s="51"/>
      <c r="G3" s="51"/>
    </row>
    <row r="4" spans="1:7">
      <c r="B4" s="1" t="s">
        <v>2</v>
      </c>
    </row>
    <row r="5" spans="1:7" ht="77.25" customHeight="1">
      <c r="A5" s="369" t="s">
        <v>0</v>
      </c>
      <c r="B5" s="369" t="s">
        <v>587</v>
      </c>
      <c r="C5" s="369" t="s">
        <v>4</v>
      </c>
      <c r="D5" s="369" t="s">
        <v>6</v>
      </c>
      <c r="E5" s="369" t="s">
        <v>5</v>
      </c>
      <c r="F5" s="369" t="s">
        <v>1</v>
      </c>
      <c r="G5" s="369" t="s">
        <v>7</v>
      </c>
    </row>
    <row r="6" spans="1:7" s="353" customFormat="1" ht="69" customHeight="1">
      <c r="A6" s="169">
        <v>1</v>
      </c>
      <c r="B6" s="180" t="s">
        <v>12</v>
      </c>
      <c r="C6" s="180" t="s">
        <v>11</v>
      </c>
      <c r="D6" s="373">
        <v>46011</v>
      </c>
      <c r="E6" s="374">
        <v>961610</v>
      </c>
      <c r="F6" s="325"/>
      <c r="G6" s="325"/>
    </row>
    <row r="7" spans="1:7" s="353" customFormat="1" ht="70.5" customHeight="1">
      <c r="A7" s="169">
        <v>2</v>
      </c>
      <c r="B7" s="180" t="s">
        <v>13</v>
      </c>
      <c r="C7" s="180"/>
      <c r="D7" s="373">
        <v>46044</v>
      </c>
      <c r="E7" s="374">
        <v>693290</v>
      </c>
      <c r="F7" s="181"/>
      <c r="G7" s="181"/>
    </row>
    <row r="8" spans="1:7" s="353" customFormat="1" ht="77.25" customHeight="1">
      <c r="A8" s="169">
        <v>3</v>
      </c>
      <c r="B8" s="180" t="s">
        <v>14</v>
      </c>
      <c r="C8" s="359"/>
      <c r="D8" s="373">
        <v>46083</v>
      </c>
      <c r="E8" s="374">
        <v>650990</v>
      </c>
      <c r="F8" s="181"/>
      <c r="G8" s="181"/>
    </row>
    <row r="9" spans="1:7" s="353" customFormat="1" ht="82.5" customHeight="1">
      <c r="A9" s="169">
        <v>4</v>
      </c>
      <c r="B9" s="180" t="s">
        <v>15</v>
      </c>
      <c r="C9" s="359"/>
      <c r="D9" s="373">
        <v>46113</v>
      </c>
      <c r="E9" s="374">
        <v>600690</v>
      </c>
      <c r="F9" s="181"/>
      <c r="G9" s="181"/>
    </row>
    <row r="10" spans="1:7" s="353" customFormat="1" ht="69.75" customHeight="1">
      <c r="A10" s="169">
        <v>5</v>
      </c>
      <c r="B10" s="180" t="s">
        <v>17</v>
      </c>
      <c r="C10" s="359"/>
      <c r="D10" s="373">
        <v>46129</v>
      </c>
      <c r="E10" s="374">
        <v>419540</v>
      </c>
      <c r="F10" s="181"/>
      <c r="G10" s="181"/>
    </row>
    <row r="11" spans="1:7" s="353" customFormat="1" ht="66.75" customHeight="1">
      <c r="A11" s="169">
        <v>6</v>
      </c>
      <c r="B11" s="180" t="s">
        <v>18</v>
      </c>
      <c r="C11" s="359"/>
      <c r="D11" s="182">
        <v>46157</v>
      </c>
      <c r="E11" s="183">
        <v>379540</v>
      </c>
      <c r="F11" s="181"/>
      <c r="G11" s="181"/>
    </row>
    <row r="12" spans="1:7" s="353" customFormat="1" ht="75.75" customHeight="1">
      <c r="A12" s="169">
        <v>7</v>
      </c>
      <c r="B12" s="180" t="s">
        <v>214</v>
      </c>
      <c r="C12" s="359"/>
      <c r="D12" s="182">
        <v>46197</v>
      </c>
      <c r="E12" s="183">
        <v>379540</v>
      </c>
      <c r="F12" s="181"/>
      <c r="G12" s="181"/>
    </row>
    <row r="13" spans="1:7" s="353" customFormat="1" ht="75.75" customHeight="1">
      <c r="A13" s="169">
        <v>8</v>
      </c>
      <c r="B13" s="180" t="s">
        <v>19</v>
      </c>
      <c r="C13" s="359"/>
      <c r="D13" s="182">
        <v>46219</v>
      </c>
      <c r="E13" s="183">
        <v>379540</v>
      </c>
      <c r="F13" s="181"/>
      <c r="G13" s="181"/>
    </row>
    <row r="14" spans="1:7" s="353" customFormat="1" ht="63">
      <c r="A14" s="324">
        <v>9</v>
      </c>
      <c r="B14" s="171" t="s">
        <v>786</v>
      </c>
      <c r="C14" s="176"/>
      <c r="D14" s="177">
        <v>46259</v>
      </c>
      <c r="E14" s="178">
        <v>247090</v>
      </c>
      <c r="F14" s="175"/>
      <c r="G14" s="175"/>
    </row>
    <row r="15" spans="1:7" s="353" customFormat="1" ht="36.75" customHeight="1">
      <c r="A15" s="375"/>
      <c r="B15" s="337"/>
      <c r="C15" s="336"/>
      <c r="D15" s="334"/>
      <c r="E15" s="376"/>
      <c r="F15" s="337"/>
      <c r="G15" s="337"/>
    </row>
    <row r="16" spans="1:7" s="353" customFormat="1" ht="31.5">
      <c r="A16" s="377"/>
      <c r="C16" s="378"/>
      <c r="D16" s="379"/>
    </row>
    <row r="17" spans="1:4" s="353" customFormat="1" ht="31.5">
      <c r="A17" s="377"/>
      <c r="C17" s="378"/>
      <c r="D17" s="379"/>
    </row>
  </sheetData>
  <mergeCells count="1">
    <mergeCell ref="A2:G2"/>
  </mergeCells>
  <pageMargins left="0.23622047244094491" right="0.23622047244094491" top="0.74803149606299213" bottom="0.74803149606299213" header="0.31496062992125984" footer="0.31496062992125984"/>
  <pageSetup scal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view="pageBreakPreview" zoomScale="60" zoomScaleNormal="120" workbookViewId="0">
      <selection activeCell="I6" sqref="I6"/>
    </sheetView>
  </sheetViews>
  <sheetFormatPr baseColWidth="10" defaultRowHeight="18.75"/>
  <cols>
    <col min="1" max="1" width="10.28515625" style="38" customWidth="1"/>
    <col min="2" max="2" width="23.42578125" style="39" customWidth="1"/>
    <col min="3" max="3" width="56.5703125" style="38" customWidth="1"/>
    <col min="4" max="4" width="53.28515625" style="38" customWidth="1"/>
    <col min="5" max="5" width="33.85546875" style="38" customWidth="1"/>
    <col min="6" max="6" width="26.28515625" style="38" customWidth="1"/>
    <col min="7" max="7" width="35.140625" style="38" customWidth="1"/>
    <col min="8" max="16384" width="11.42578125" style="38"/>
  </cols>
  <sheetData>
    <row r="1" spans="1:7" ht="24">
      <c r="B1" s="94"/>
      <c r="C1" s="99"/>
      <c r="D1" s="100"/>
      <c r="E1" s="51"/>
      <c r="F1" s="51"/>
    </row>
    <row r="2" spans="1:7" s="98" customFormat="1" ht="48.75" customHeight="1">
      <c r="A2" s="519" t="s">
        <v>592</v>
      </c>
      <c r="B2" s="519"/>
      <c r="C2" s="519"/>
      <c r="D2" s="519"/>
      <c r="E2" s="519"/>
      <c r="F2" s="519"/>
      <c r="G2" s="519"/>
    </row>
    <row r="3" spans="1:7" s="98" customFormat="1" ht="24">
      <c r="B3" s="94"/>
      <c r="C3" s="99"/>
      <c r="D3" s="100"/>
    </row>
    <row r="4" spans="1:7" s="98" customFormat="1" ht="21.75">
      <c r="B4" s="168"/>
      <c r="C4" s="98" t="s">
        <v>2</v>
      </c>
    </row>
    <row r="5" spans="1:7" s="98" customFormat="1" ht="73.5">
      <c r="A5" s="193" t="s">
        <v>0</v>
      </c>
      <c r="B5" s="190" t="s">
        <v>69</v>
      </c>
      <c r="C5" s="190" t="s">
        <v>587</v>
      </c>
      <c r="D5" s="190" t="s">
        <v>4</v>
      </c>
      <c r="E5" s="190" t="s">
        <v>5</v>
      </c>
      <c r="F5" s="190" t="s">
        <v>1</v>
      </c>
      <c r="G5" s="190" t="s">
        <v>7</v>
      </c>
    </row>
    <row r="6" spans="1:7" ht="126">
      <c r="A6" s="170">
        <v>1</v>
      </c>
      <c r="B6" s="192">
        <v>46076</v>
      </c>
      <c r="C6" s="171" t="s">
        <v>542</v>
      </c>
      <c r="D6" s="191" t="s">
        <v>10</v>
      </c>
      <c r="E6" s="194">
        <v>8100000</v>
      </c>
      <c r="F6" s="221" t="s">
        <v>709</v>
      </c>
      <c r="G6" s="171" t="s">
        <v>770</v>
      </c>
    </row>
    <row r="7" spans="1:7" ht="126">
      <c r="A7" s="170">
        <v>2</v>
      </c>
      <c r="B7" s="192">
        <v>46177</v>
      </c>
      <c r="C7" s="171" t="s">
        <v>543</v>
      </c>
      <c r="D7" s="191" t="s">
        <v>10</v>
      </c>
      <c r="E7" s="194">
        <v>6500000</v>
      </c>
      <c r="F7" s="338" t="s">
        <v>709</v>
      </c>
      <c r="G7" s="171" t="s">
        <v>769</v>
      </c>
    </row>
    <row r="8" spans="1:7" ht="51" customHeight="1">
      <c r="A8" s="195"/>
      <c r="B8" s="196"/>
      <c r="C8" s="195"/>
      <c r="D8" s="195"/>
      <c r="E8" s="196"/>
      <c r="F8" s="195"/>
      <c r="G8" s="195"/>
    </row>
    <row r="9" spans="1:7" ht="60.75" customHeight="1">
      <c r="A9" s="40"/>
      <c r="B9" s="40"/>
      <c r="C9" s="40"/>
      <c r="D9" s="40"/>
      <c r="E9" s="197">
        <f>SUM(E6:E8)</f>
        <v>14600000</v>
      </c>
      <c r="F9" s="40"/>
      <c r="G9" s="40"/>
    </row>
  </sheetData>
  <mergeCells count="1">
    <mergeCell ref="A2:G2"/>
  </mergeCells>
  <pageMargins left="0.7" right="0.7" top="0.75" bottom="0.75" header="0.3" footer="0.3"/>
  <pageSetup scale="3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view="pageBreakPreview" topLeftCell="A22" zoomScale="60" zoomScaleNormal="120" workbookViewId="0">
      <selection activeCell="K7" sqref="K7"/>
    </sheetView>
  </sheetViews>
  <sheetFormatPr baseColWidth="10" defaultRowHeight="15.75"/>
  <cols>
    <col min="1" max="1" width="22.85546875" style="5" customWidth="1"/>
    <col min="2" max="2" width="38.140625" style="1" customWidth="1"/>
    <col min="3" max="3" width="35.7109375" style="4" customWidth="1"/>
    <col min="4" max="4" width="33.28515625" style="10" customWidth="1"/>
    <col min="5" max="5" width="35.140625" style="1" customWidth="1"/>
    <col min="6" max="6" width="27" style="1" customWidth="1"/>
    <col min="7" max="7" width="33.7109375" style="1" customWidth="1"/>
    <col min="8" max="16384" width="11.42578125" style="1"/>
  </cols>
  <sheetData>
    <row r="1" spans="1:7" ht="24">
      <c r="A1" s="94"/>
      <c r="B1" s="99"/>
      <c r="C1" s="100"/>
      <c r="D1" s="51"/>
      <c r="E1" s="51"/>
    </row>
    <row r="2" spans="1:7" ht="54.75">
      <c r="A2" s="519" t="s">
        <v>593</v>
      </c>
      <c r="B2" s="519"/>
      <c r="C2" s="519"/>
      <c r="D2" s="519"/>
      <c r="E2" s="519"/>
      <c r="F2" s="519"/>
      <c r="G2" s="519"/>
    </row>
    <row r="3" spans="1:7" ht="24">
      <c r="A3" s="94"/>
      <c r="B3" s="99"/>
      <c r="C3" s="100"/>
      <c r="D3" s="51"/>
      <c r="E3" s="51"/>
    </row>
    <row r="4" spans="1:7" s="327" customFormat="1" ht="63">
      <c r="A4" s="273" t="s">
        <v>69</v>
      </c>
      <c r="B4" s="273" t="s">
        <v>587</v>
      </c>
      <c r="C4" s="273" t="s">
        <v>4</v>
      </c>
      <c r="D4" s="273" t="s">
        <v>21</v>
      </c>
      <c r="E4" s="273" t="s">
        <v>5</v>
      </c>
      <c r="F4" s="273" t="s">
        <v>1</v>
      </c>
      <c r="G4" s="273" t="s">
        <v>7</v>
      </c>
    </row>
    <row r="5" spans="1:7" s="329" customFormat="1" ht="60.75" customHeight="1">
      <c r="A5" s="534" t="s">
        <v>598</v>
      </c>
      <c r="B5" s="171" t="s">
        <v>594</v>
      </c>
      <c r="C5" s="171" t="s">
        <v>22</v>
      </c>
      <c r="D5" s="535">
        <v>46046</v>
      </c>
      <c r="E5" s="328">
        <v>535050</v>
      </c>
      <c r="F5" s="175"/>
      <c r="G5" s="175"/>
    </row>
    <row r="6" spans="1:7" s="329" customFormat="1" ht="46.5" customHeight="1">
      <c r="A6" s="525"/>
      <c r="B6" s="171" t="s">
        <v>595</v>
      </c>
      <c r="C6" s="171" t="s">
        <v>23</v>
      </c>
      <c r="D6" s="536"/>
      <c r="E6" s="328">
        <v>280000</v>
      </c>
      <c r="F6" s="175"/>
      <c r="G6" s="175"/>
    </row>
    <row r="7" spans="1:7" s="329" customFormat="1" ht="31.5">
      <c r="A7" s="476"/>
      <c r="B7" s="171"/>
      <c r="C7" s="171"/>
      <c r="D7" s="493"/>
      <c r="E7" s="328"/>
      <c r="F7" s="175"/>
      <c r="G7" s="175"/>
    </row>
    <row r="8" spans="1:7" s="329" customFormat="1" ht="44.25" customHeight="1">
      <c r="A8" s="524" t="s">
        <v>445</v>
      </c>
      <c r="B8" s="171" t="s">
        <v>596</v>
      </c>
      <c r="C8" s="176"/>
      <c r="D8" s="535">
        <v>46080</v>
      </c>
      <c r="E8" s="328">
        <v>535050</v>
      </c>
      <c r="F8" s="175"/>
      <c r="G8" s="175"/>
    </row>
    <row r="9" spans="1:7" s="329" customFormat="1" ht="42" customHeight="1">
      <c r="A9" s="525"/>
      <c r="B9" s="171" t="s">
        <v>597</v>
      </c>
      <c r="C9" s="176"/>
      <c r="D9" s="536"/>
      <c r="E9" s="330">
        <v>280000</v>
      </c>
      <c r="F9" s="175"/>
      <c r="G9" s="175"/>
    </row>
    <row r="10" spans="1:7" s="329" customFormat="1" ht="31.5">
      <c r="A10" s="521"/>
      <c r="B10" s="522"/>
      <c r="C10" s="522"/>
      <c r="D10" s="522"/>
      <c r="E10" s="522"/>
      <c r="F10" s="522"/>
      <c r="G10" s="523"/>
    </row>
    <row r="11" spans="1:7" s="329" customFormat="1" ht="31.5">
      <c r="A11" s="524" t="s">
        <v>451</v>
      </c>
      <c r="B11" s="171" t="s">
        <v>600</v>
      </c>
      <c r="C11" s="176"/>
      <c r="D11" s="526">
        <v>43914</v>
      </c>
      <c r="E11" s="330">
        <v>535050</v>
      </c>
      <c r="F11" s="175"/>
      <c r="G11" s="175"/>
    </row>
    <row r="12" spans="1:7" s="329" customFormat="1" ht="31.5">
      <c r="A12" s="525"/>
      <c r="B12" s="171" t="s">
        <v>599</v>
      </c>
      <c r="C12" s="176"/>
      <c r="D12" s="527"/>
      <c r="E12" s="330">
        <v>280000</v>
      </c>
      <c r="F12" s="175"/>
      <c r="G12" s="175"/>
    </row>
    <row r="13" spans="1:7" s="329" customFormat="1" ht="31.5">
      <c r="A13" s="521"/>
      <c r="B13" s="522"/>
      <c r="C13" s="522"/>
      <c r="D13" s="522"/>
      <c r="E13" s="522"/>
      <c r="F13" s="522"/>
      <c r="G13" s="523"/>
    </row>
    <row r="14" spans="1:7" s="329" customFormat="1" ht="40.5" customHeight="1">
      <c r="A14" s="524" t="s">
        <v>452</v>
      </c>
      <c r="B14" s="171" t="s">
        <v>601</v>
      </c>
      <c r="C14" s="176"/>
      <c r="D14" s="526">
        <v>46149</v>
      </c>
      <c r="E14" s="330">
        <v>535050</v>
      </c>
      <c r="F14" s="175"/>
      <c r="G14" s="175"/>
    </row>
    <row r="15" spans="1:7" s="329" customFormat="1" ht="45.75" customHeight="1">
      <c r="A15" s="525"/>
      <c r="B15" s="171" t="s">
        <v>602</v>
      </c>
      <c r="C15" s="176"/>
      <c r="D15" s="527"/>
      <c r="E15" s="330">
        <v>280000</v>
      </c>
      <c r="F15" s="175"/>
      <c r="G15" s="175"/>
    </row>
    <row r="16" spans="1:7" s="329" customFormat="1" ht="31.5">
      <c r="A16" s="521"/>
      <c r="B16" s="522"/>
      <c r="C16" s="522"/>
      <c r="D16" s="522"/>
      <c r="E16" s="522"/>
      <c r="F16" s="522"/>
      <c r="G16" s="523"/>
    </row>
    <row r="17" spans="1:7" s="329" customFormat="1" ht="45.75" customHeight="1">
      <c r="A17" s="524" t="s">
        <v>456</v>
      </c>
      <c r="B17" s="171" t="s">
        <v>603</v>
      </c>
      <c r="C17" s="176"/>
      <c r="D17" s="526">
        <v>46149</v>
      </c>
      <c r="E17" s="330">
        <v>535050</v>
      </c>
      <c r="F17" s="175"/>
      <c r="G17" s="175"/>
    </row>
    <row r="18" spans="1:7" s="329" customFormat="1" ht="31.5">
      <c r="A18" s="525"/>
      <c r="B18" s="171" t="s">
        <v>604</v>
      </c>
      <c r="C18" s="176"/>
      <c r="D18" s="527"/>
      <c r="E18" s="330">
        <v>280000</v>
      </c>
      <c r="F18" s="175"/>
      <c r="G18" s="175"/>
    </row>
    <row r="19" spans="1:7" s="329" customFormat="1" ht="31.5">
      <c r="A19" s="528"/>
      <c r="B19" s="529"/>
      <c r="C19" s="529"/>
      <c r="D19" s="529"/>
      <c r="E19" s="529"/>
      <c r="F19" s="529"/>
      <c r="G19" s="530"/>
    </row>
    <row r="20" spans="1:7" s="329" customFormat="1" ht="64.5" customHeight="1">
      <c r="A20" s="524" t="s">
        <v>460</v>
      </c>
      <c r="B20" s="171" t="s">
        <v>605</v>
      </c>
      <c r="C20" s="176"/>
      <c r="D20" s="526">
        <v>46217</v>
      </c>
      <c r="E20" s="330">
        <v>535050</v>
      </c>
      <c r="F20" s="175"/>
      <c r="G20" s="175"/>
    </row>
    <row r="21" spans="1:7" s="329" customFormat="1" ht="57" customHeight="1">
      <c r="A21" s="525"/>
      <c r="B21" s="171" t="s">
        <v>606</v>
      </c>
      <c r="C21" s="176"/>
      <c r="D21" s="527"/>
      <c r="E21" s="330">
        <v>280000</v>
      </c>
      <c r="F21" s="175"/>
      <c r="G21" s="175"/>
    </row>
    <row r="22" spans="1:7" s="329" customFormat="1" ht="31.5">
      <c r="A22" s="531"/>
      <c r="B22" s="532"/>
      <c r="C22" s="532"/>
      <c r="D22" s="532"/>
      <c r="E22" s="532"/>
      <c r="F22" s="532"/>
      <c r="G22" s="533"/>
    </row>
    <row r="23" spans="1:7" s="329" customFormat="1" ht="48" customHeight="1">
      <c r="A23" s="524" t="s">
        <v>476</v>
      </c>
      <c r="B23" s="171" t="s">
        <v>607</v>
      </c>
      <c r="C23" s="176"/>
      <c r="D23" s="526">
        <v>46217</v>
      </c>
      <c r="E23" s="330">
        <v>535050</v>
      </c>
      <c r="F23" s="175"/>
      <c r="G23" s="175"/>
    </row>
    <row r="24" spans="1:7" s="329" customFormat="1" ht="47.25" customHeight="1">
      <c r="A24" s="525"/>
      <c r="B24" s="171" t="s">
        <v>608</v>
      </c>
      <c r="C24" s="176"/>
      <c r="D24" s="527"/>
      <c r="E24" s="330">
        <v>280000</v>
      </c>
      <c r="F24" s="175"/>
      <c r="G24" s="175"/>
    </row>
    <row r="25" spans="1:7" s="329" customFormat="1" ht="31.5">
      <c r="A25" s="521"/>
      <c r="B25" s="522"/>
      <c r="C25" s="522"/>
      <c r="D25" s="522"/>
      <c r="E25" s="522"/>
      <c r="F25" s="522"/>
      <c r="G25" s="523"/>
    </row>
    <row r="26" spans="1:7" s="329" customFormat="1" ht="52.5" customHeight="1">
      <c r="A26" s="524" t="s">
        <v>536</v>
      </c>
      <c r="B26" s="171" t="s">
        <v>814</v>
      </c>
      <c r="C26" s="176"/>
      <c r="D26" s="526">
        <v>46259</v>
      </c>
      <c r="E26" s="178">
        <v>535050</v>
      </c>
      <c r="F26" s="191"/>
      <c r="G26" s="175"/>
    </row>
    <row r="27" spans="1:7" s="329" customFormat="1" ht="51.75" customHeight="1">
      <c r="A27" s="525"/>
      <c r="B27" s="171" t="s">
        <v>815</v>
      </c>
      <c r="C27" s="176"/>
      <c r="D27" s="527"/>
      <c r="E27" s="178">
        <v>280000</v>
      </c>
      <c r="F27" s="174"/>
      <c r="G27" s="175"/>
    </row>
    <row r="28" spans="1:7" s="329" customFormat="1" ht="31.5">
      <c r="A28" s="294"/>
      <c r="B28" s="175"/>
      <c r="C28" s="176"/>
      <c r="D28" s="177"/>
      <c r="E28" s="178"/>
      <c r="F28" s="175"/>
      <c r="G28" s="175"/>
    </row>
  </sheetData>
  <mergeCells count="23">
    <mergeCell ref="A2:G2"/>
    <mergeCell ref="A5:A6"/>
    <mergeCell ref="A8:A9"/>
    <mergeCell ref="D5:D6"/>
    <mergeCell ref="D8:D9"/>
    <mergeCell ref="A17:A18"/>
    <mergeCell ref="D17:D18"/>
    <mergeCell ref="A16:G16"/>
    <mergeCell ref="A19:G19"/>
    <mergeCell ref="D26:D27"/>
    <mergeCell ref="A26:A27"/>
    <mergeCell ref="A25:G25"/>
    <mergeCell ref="A20:A21"/>
    <mergeCell ref="A23:A24"/>
    <mergeCell ref="D23:D24"/>
    <mergeCell ref="D20:D21"/>
    <mergeCell ref="A22:G22"/>
    <mergeCell ref="A10:G10"/>
    <mergeCell ref="A13:G13"/>
    <mergeCell ref="A11:A12"/>
    <mergeCell ref="D11:D12"/>
    <mergeCell ref="A14:A15"/>
    <mergeCell ref="D14:D15"/>
  </mergeCells>
  <pageMargins left="0.25" right="0.25" top="0.75" bottom="0.75" header="0.3" footer="0.3"/>
  <pageSetup scale="3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view="pageBreakPreview" topLeftCell="A22" zoomScale="60" zoomScaleNormal="120" workbookViewId="0">
      <selection activeCell="C27" sqref="C27"/>
    </sheetView>
  </sheetViews>
  <sheetFormatPr baseColWidth="10" defaultRowHeight="18"/>
  <cols>
    <col min="1" max="1" width="25.5703125" style="93" customWidth="1"/>
    <col min="2" max="2" width="36.85546875" style="47" customWidth="1"/>
    <col min="3" max="3" width="58.85546875" style="46" customWidth="1"/>
    <col min="4" max="4" width="30.7109375" style="47" customWidth="1"/>
    <col min="5" max="5" width="37.7109375" style="48" customWidth="1"/>
    <col min="6" max="6" width="22.5703125" style="1" customWidth="1"/>
    <col min="7" max="7" width="33.140625" style="1" customWidth="1"/>
    <col min="8" max="16384" width="11.42578125" style="48"/>
  </cols>
  <sheetData>
    <row r="1" spans="1:7" ht="54.75">
      <c r="A1" s="537" t="s">
        <v>609</v>
      </c>
      <c r="B1" s="537"/>
      <c r="C1" s="537"/>
      <c r="D1" s="537"/>
      <c r="E1" s="537"/>
      <c r="F1" s="537"/>
      <c r="G1" s="537"/>
    </row>
    <row r="3" spans="1:7">
      <c r="B3" s="47" t="s">
        <v>2</v>
      </c>
    </row>
    <row r="4" spans="1:7" ht="67.5">
      <c r="A4" s="189" t="s">
        <v>24</v>
      </c>
      <c r="B4" s="189" t="s">
        <v>587</v>
      </c>
      <c r="C4" s="189" t="s">
        <v>4</v>
      </c>
      <c r="D4" s="189" t="s">
        <v>21</v>
      </c>
      <c r="E4" s="189" t="s">
        <v>5</v>
      </c>
      <c r="F4" s="189" t="s">
        <v>1</v>
      </c>
      <c r="G4" s="189" t="s">
        <v>7</v>
      </c>
    </row>
    <row r="5" spans="1:7" ht="94.5">
      <c r="A5" s="171" t="s">
        <v>26</v>
      </c>
      <c r="B5" s="171" t="s">
        <v>25</v>
      </c>
      <c r="C5" s="171" t="s">
        <v>30</v>
      </c>
      <c r="D5" s="172">
        <v>46042</v>
      </c>
      <c r="E5" s="173">
        <v>137330</v>
      </c>
      <c r="F5" s="175"/>
      <c r="G5" s="175"/>
    </row>
    <row r="6" spans="1:7" ht="94.5">
      <c r="A6" s="282" t="s">
        <v>27</v>
      </c>
      <c r="B6" s="171" t="s">
        <v>28</v>
      </c>
      <c r="C6" s="171" t="s">
        <v>29</v>
      </c>
      <c r="D6" s="172">
        <v>46042</v>
      </c>
      <c r="E6" s="173">
        <v>73718</v>
      </c>
      <c r="F6" s="175"/>
      <c r="G6" s="175"/>
    </row>
    <row r="7" spans="1:7" ht="94.5">
      <c r="A7" s="211" t="s">
        <v>31</v>
      </c>
      <c r="B7" s="171" t="s">
        <v>42</v>
      </c>
      <c r="C7" s="211" t="s">
        <v>33</v>
      </c>
      <c r="D7" s="172">
        <v>46021</v>
      </c>
      <c r="E7" s="173">
        <v>218776</v>
      </c>
      <c r="F7" s="331"/>
      <c r="G7" s="185"/>
    </row>
    <row r="8" spans="1:7" s="51" customFormat="1" ht="94.5">
      <c r="A8" s="211" t="s">
        <v>34</v>
      </c>
      <c r="B8" s="171" t="s">
        <v>43</v>
      </c>
      <c r="C8" s="211" t="s">
        <v>33</v>
      </c>
      <c r="D8" s="172">
        <v>46042</v>
      </c>
      <c r="E8" s="173">
        <v>137330</v>
      </c>
      <c r="F8" s="175"/>
      <c r="G8" s="175"/>
    </row>
    <row r="9" spans="1:7" s="51" customFormat="1" ht="96.75" customHeight="1">
      <c r="A9" s="211" t="s">
        <v>34</v>
      </c>
      <c r="B9" s="171" t="s">
        <v>35</v>
      </c>
      <c r="C9" s="171" t="s">
        <v>29</v>
      </c>
      <c r="D9" s="172">
        <v>46042</v>
      </c>
      <c r="E9" s="173">
        <v>73718</v>
      </c>
      <c r="F9" s="175"/>
      <c r="G9" s="175"/>
    </row>
    <row r="10" spans="1:7" s="51" customFormat="1" ht="94.5">
      <c r="A10" s="211" t="s">
        <v>38</v>
      </c>
      <c r="B10" s="171" t="s">
        <v>36</v>
      </c>
      <c r="C10" s="171" t="s">
        <v>37</v>
      </c>
      <c r="D10" s="172">
        <v>46051</v>
      </c>
      <c r="E10" s="173">
        <v>75743</v>
      </c>
      <c r="F10" s="331"/>
      <c r="G10" s="185"/>
    </row>
    <row r="11" spans="1:7" s="51" customFormat="1" ht="94.5">
      <c r="A11" s="211" t="s">
        <v>47</v>
      </c>
      <c r="B11" s="171" t="s">
        <v>48</v>
      </c>
      <c r="C11" s="211" t="s">
        <v>49</v>
      </c>
      <c r="D11" s="172">
        <v>46099</v>
      </c>
      <c r="E11" s="173">
        <v>32847</v>
      </c>
      <c r="F11" s="175"/>
      <c r="G11" s="175"/>
    </row>
    <row r="12" spans="1:7" s="51" customFormat="1" ht="94.5">
      <c r="A12" s="211" t="s">
        <v>39</v>
      </c>
      <c r="B12" s="171" t="s">
        <v>40</v>
      </c>
      <c r="C12" s="211" t="s">
        <v>41</v>
      </c>
      <c r="D12" s="177">
        <v>46099</v>
      </c>
      <c r="E12" s="178">
        <v>31152</v>
      </c>
      <c r="F12" s="175"/>
      <c r="G12" s="175"/>
    </row>
    <row r="13" spans="1:7" s="51" customFormat="1" ht="94.5">
      <c r="A13" s="211" t="s">
        <v>39</v>
      </c>
      <c r="B13" s="294" t="s">
        <v>44</v>
      </c>
      <c r="C13" s="171" t="s">
        <v>45</v>
      </c>
      <c r="D13" s="177">
        <v>46099</v>
      </c>
      <c r="E13" s="178">
        <v>137330</v>
      </c>
      <c r="F13" s="294"/>
      <c r="G13" s="185"/>
    </row>
    <row r="14" spans="1:7" s="51" customFormat="1" ht="94.5">
      <c r="A14" s="211" t="s">
        <v>39</v>
      </c>
      <c r="B14" s="171" t="s">
        <v>46</v>
      </c>
      <c r="C14" s="171" t="s">
        <v>29</v>
      </c>
      <c r="D14" s="177">
        <v>46099</v>
      </c>
      <c r="E14" s="178">
        <v>73718</v>
      </c>
      <c r="F14" s="175"/>
      <c r="G14" s="175"/>
    </row>
    <row r="15" spans="1:7" s="51" customFormat="1" ht="69.75" customHeight="1">
      <c r="A15" s="211" t="s">
        <v>39</v>
      </c>
      <c r="B15" s="171" t="s">
        <v>50</v>
      </c>
      <c r="C15" s="211" t="s">
        <v>41</v>
      </c>
      <c r="D15" s="177">
        <v>46099</v>
      </c>
      <c r="E15" s="178">
        <v>31152</v>
      </c>
      <c r="F15" s="175"/>
      <c r="G15" s="175"/>
    </row>
    <row r="16" spans="1:7" s="51" customFormat="1" ht="126">
      <c r="A16" s="171" t="s">
        <v>53</v>
      </c>
      <c r="B16" s="171" t="s">
        <v>54</v>
      </c>
      <c r="C16" s="171" t="s">
        <v>55</v>
      </c>
      <c r="D16" s="177">
        <v>46099</v>
      </c>
      <c r="E16" s="178">
        <v>1386122</v>
      </c>
      <c r="F16" s="171"/>
      <c r="G16" s="185"/>
    </row>
    <row r="17" spans="1:7" s="51" customFormat="1" ht="94.5">
      <c r="A17" s="171" t="s">
        <v>59</v>
      </c>
      <c r="B17" s="171" t="s">
        <v>58</v>
      </c>
      <c r="C17" s="171" t="s">
        <v>45</v>
      </c>
      <c r="D17" s="177">
        <v>46119</v>
      </c>
      <c r="E17" s="178">
        <v>137330</v>
      </c>
      <c r="F17" s="175"/>
      <c r="G17" s="175"/>
    </row>
    <row r="18" spans="1:7" s="51" customFormat="1" ht="94.5">
      <c r="A18" s="171" t="s">
        <v>56</v>
      </c>
      <c r="B18" s="171" t="s">
        <v>57</v>
      </c>
      <c r="C18" s="171" t="s">
        <v>37</v>
      </c>
      <c r="D18" s="177">
        <v>46119</v>
      </c>
      <c r="E18" s="178">
        <v>73718</v>
      </c>
      <c r="F18" s="175"/>
      <c r="G18" s="175"/>
    </row>
    <row r="19" spans="1:7" s="51" customFormat="1" ht="94.5">
      <c r="A19" s="211" t="s">
        <v>51</v>
      </c>
      <c r="B19" s="294" t="s">
        <v>52</v>
      </c>
      <c r="C19" s="211" t="s">
        <v>33</v>
      </c>
      <c r="D19" s="177">
        <v>46141</v>
      </c>
      <c r="E19" s="178">
        <v>218776</v>
      </c>
      <c r="F19" s="294"/>
      <c r="G19" s="185"/>
    </row>
    <row r="20" spans="1:7" s="51" customFormat="1" ht="94.5">
      <c r="A20" s="211" t="s">
        <v>60</v>
      </c>
      <c r="B20" s="294" t="s">
        <v>61</v>
      </c>
      <c r="C20" s="211" t="s">
        <v>33</v>
      </c>
      <c r="D20" s="177">
        <v>46163</v>
      </c>
      <c r="E20" s="178">
        <v>137330</v>
      </c>
      <c r="F20" s="175"/>
      <c r="G20" s="175"/>
    </row>
    <row r="21" spans="1:7" s="51" customFormat="1" ht="126">
      <c r="A21" s="171" t="s">
        <v>62</v>
      </c>
      <c r="B21" s="294" t="s">
        <v>63</v>
      </c>
      <c r="C21" s="171" t="s">
        <v>55</v>
      </c>
      <c r="D21" s="177">
        <v>46188</v>
      </c>
      <c r="E21" s="178">
        <v>1386122</v>
      </c>
      <c r="F21" s="175"/>
      <c r="G21" s="175"/>
    </row>
    <row r="22" spans="1:7" s="51" customFormat="1" ht="94.5">
      <c r="A22" s="211" t="s">
        <v>64</v>
      </c>
      <c r="B22" s="294" t="s">
        <v>65</v>
      </c>
      <c r="C22" s="211" t="s">
        <v>33</v>
      </c>
      <c r="D22" s="177">
        <v>46194</v>
      </c>
      <c r="E22" s="178">
        <v>137330</v>
      </c>
      <c r="F22" s="294"/>
      <c r="G22" s="185"/>
    </row>
    <row r="23" spans="1:7" s="51" customFormat="1" ht="94.5">
      <c r="A23" s="171" t="s">
        <v>570</v>
      </c>
      <c r="B23" s="171" t="s">
        <v>571</v>
      </c>
      <c r="C23" s="211" t="s">
        <v>33</v>
      </c>
      <c r="D23" s="177">
        <v>46246</v>
      </c>
      <c r="E23" s="178">
        <v>237741</v>
      </c>
      <c r="F23" s="175"/>
      <c r="G23" s="175"/>
    </row>
    <row r="24" spans="1:7" s="51" customFormat="1" ht="126">
      <c r="A24" s="171" t="s">
        <v>577</v>
      </c>
      <c r="B24" s="294" t="s">
        <v>578</v>
      </c>
      <c r="C24" s="171" t="s">
        <v>579</v>
      </c>
      <c r="D24" s="177">
        <v>46247</v>
      </c>
      <c r="E24" s="178">
        <v>137330</v>
      </c>
      <c r="F24" s="175"/>
      <c r="G24" s="175"/>
    </row>
    <row r="25" spans="1:7" s="51" customFormat="1" ht="22.5">
      <c r="A25" s="167"/>
      <c r="B25" s="70"/>
      <c r="C25" s="64"/>
      <c r="D25" s="70"/>
      <c r="E25" s="62"/>
      <c r="F25" s="80"/>
      <c r="G25" s="80"/>
    </row>
    <row r="26" spans="1:7" ht="22.5">
      <c r="A26" s="167"/>
      <c r="B26" s="70"/>
      <c r="C26" s="64"/>
      <c r="D26" s="70"/>
      <c r="E26" s="62"/>
      <c r="F26" s="80"/>
      <c r="G26" s="80"/>
    </row>
    <row r="27" spans="1:7" ht="34.5">
      <c r="A27" s="167"/>
      <c r="B27" s="70"/>
      <c r="C27" s="64"/>
      <c r="D27" s="70"/>
      <c r="E27" s="376">
        <f>SUM(E5:E26)</f>
        <v>4874613</v>
      </c>
      <c r="F27" s="80"/>
      <c r="G27" s="80"/>
    </row>
    <row r="28" spans="1:7" ht="22.5">
      <c r="A28" s="167"/>
      <c r="B28" s="70"/>
      <c r="C28" s="64"/>
      <c r="D28" s="70"/>
      <c r="E28" s="62"/>
      <c r="F28" s="80"/>
      <c r="G28" s="80"/>
    </row>
    <row r="29" spans="1:7" ht="22.5">
      <c r="A29" s="167"/>
      <c r="B29" s="70"/>
      <c r="C29" s="64"/>
      <c r="D29" s="70"/>
      <c r="E29" s="62"/>
      <c r="F29" s="80"/>
      <c r="G29" s="80"/>
    </row>
    <row r="30" spans="1:7" ht="22.5">
      <c r="A30" s="167"/>
      <c r="B30" s="70"/>
      <c r="C30" s="64"/>
      <c r="D30" s="70"/>
      <c r="E30" s="62"/>
      <c r="F30" s="80"/>
      <c r="G30" s="80"/>
    </row>
    <row r="31" spans="1:7" ht="22.5">
      <c r="A31" s="167"/>
      <c r="B31" s="70"/>
      <c r="C31" s="64"/>
      <c r="D31" s="70"/>
      <c r="E31" s="62"/>
      <c r="F31" s="80"/>
      <c r="G31" s="80"/>
    </row>
  </sheetData>
  <mergeCells count="1">
    <mergeCell ref="A1:G1"/>
  </mergeCells>
  <pageMargins left="0.25" right="0.25" top="0.75" bottom="0.75" header="0.3" footer="0.3"/>
  <pageSetup scale="4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view="pageBreakPreview" zoomScale="50" zoomScaleNormal="120" zoomScaleSheetLayoutView="50" workbookViewId="0">
      <selection activeCell="B6" sqref="B6"/>
    </sheetView>
  </sheetViews>
  <sheetFormatPr baseColWidth="10" defaultRowHeight="18"/>
  <cols>
    <col min="1" max="1" width="29.85546875" style="93" customWidth="1"/>
    <col min="2" max="2" width="30.85546875" style="47" customWidth="1"/>
    <col min="3" max="3" width="61.28515625" style="46" customWidth="1"/>
    <col min="4" max="4" width="32" style="47" customWidth="1"/>
    <col min="5" max="5" width="39.5703125" style="48" customWidth="1"/>
    <col min="6" max="6" width="39.28515625" style="48" customWidth="1"/>
    <col min="7" max="16384" width="11.42578125" style="48"/>
  </cols>
  <sheetData>
    <row r="2" spans="1:6" ht="54.75">
      <c r="A2" s="537" t="s">
        <v>610</v>
      </c>
      <c r="B2" s="537"/>
      <c r="C2" s="537"/>
      <c r="D2" s="537"/>
      <c r="E2" s="537"/>
      <c r="F2" s="537"/>
    </row>
    <row r="4" spans="1:6">
      <c r="B4" s="47" t="s">
        <v>2</v>
      </c>
    </row>
    <row r="5" spans="1:6" ht="73.5">
      <c r="A5" s="190" t="s">
        <v>24</v>
      </c>
      <c r="B5" s="190" t="s">
        <v>587</v>
      </c>
      <c r="C5" s="190" t="s">
        <v>4</v>
      </c>
      <c r="D5" s="190" t="s">
        <v>21</v>
      </c>
      <c r="E5" s="190" t="s">
        <v>5</v>
      </c>
      <c r="F5" s="190" t="s">
        <v>1</v>
      </c>
    </row>
    <row r="6" spans="1:6" ht="63">
      <c r="A6" s="235">
        <v>45994</v>
      </c>
      <c r="B6" s="171" t="s">
        <v>32</v>
      </c>
      <c r="C6" s="171" t="s">
        <v>66</v>
      </c>
      <c r="D6" s="172">
        <v>46057</v>
      </c>
      <c r="E6" s="173">
        <v>45000</v>
      </c>
      <c r="F6" s="174"/>
    </row>
    <row r="7" spans="1:6" ht="63">
      <c r="A7" s="235">
        <v>46146</v>
      </c>
      <c r="B7" s="171" t="s">
        <v>32</v>
      </c>
      <c r="C7" s="171" t="s">
        <v>67</v>
      </c>
      <c r="D7" s="172">
        <v>46146</v>
      </c>
      <c r="E7" s="173">
        <v>118000</v>
      </c>
      <c r="F7" s="175"/>
    </row>
    <row r="8" spans="1:6" ht="94.5">
      <c r="A8" s="235">
        <v>46049</v>
      </c>
      <c r="B8" s="171" t="s">
        <v>699</v>
      </c>
      <c r="C8" s="211" t="s">
        <v>693</v>
      </c>
      <c r="D8" s="172">
        <v>46253</v>
      </c>
      <c r="E8" s="173">
        <v>340000</v>
      </c>
      <c r="F8" s="175"/>
    </row>
    <row r="9" spans="1:6" ht="94.5">
      <c r="A9" s="235">
        <v>46078</v>
      </c>
      <c r="B9" s="171" t="s">
        <v>700</v>
      </c>
      <c r="C9" s="211" t="s">
        <v>694</v>
      </c>
      <c r="D9" s="172">
        <v>46253</v>
      </c>
      <c r="E9" s="173">
        <v>340000</v>
      </c>
      <c r="F9" s="175"/>
    </row>
    <row r="10" spans="1:6" ht="94.5">
      <c r="A10" s="235">
        <v>46104</v>
      </c>
      <c r="B10" s="171" t="s">
        <v>701</v>
      </c>
      <c r="C10" s="211" t="s">
        <v>695</v>
      </c>
      <c r="D10" s="172">
        <v>46253</v>
      </c>
      <c r="E10" s="173">
        <v>340000</v>
      </c>
      <c r="F10" s="175"/>
    </row>
    <row r="11" spans="1:6" ht="94.5">
      <c r="A11" s="235">
        <v>46133</v>
      </c>
      <c r="B11" s="171" t="s">
        <v>702</v>
      </c>
      <c r="C11" s="211" t="s">
        <v>696</v>
      </c>
      <c r="D11" s="172">
        <v>46253</v>
      </c>
      <c r="E11" s="173">
        <v>340000</v>
      </c>
      <c r="F11" s="175"/>
    </row>
    <row r="12" spans="1:6" ht="94.5">
      <c r="A12" s="235">
        <v>46160</v>
      </c>
      <c r="B12" s="171" t="s">
        <v>703</v>
      </c>
      <c r="C12" s="211" t="s">
        <v>697</v>
      </c>
      <c r="D12" s="172">
        <v>46253</v>
      </c>
      <c r="E12" s="173">
        <v>340000</v>
      </c>
      <c r="F12" s="175"/>
    </row>
    <row r="13" spans="1:6" ht="94.5">
      <c r="A13" s="235">
        <v>46195</v>
      </c>
      <c r="B13" s="171" t="s">
        <v>704</v>
      </c>
      <c r="C13" s="211" t="s">
        <v>698</v>
      </c>
      <c r="D13" s="172">
        <v>46253</v>
      </c>
      <c r="E13" s="173">
        <v>340000</v>
      </c>
      <c r="F13" s="175"/>
    </row>
    <row r="14" spans="1:6" ht="94.5">
      <c r="A14" s="235">
        <v>46223</v>
      </c>
      <c r="B14" s="171" t="s">
        <v>705</v>
      </c>
      <c r="C14" s="211" t="s">
        <v>706</v>
      </c>
      <c r="D14" s="172">
        <v>46253</v>
      </c>
      <c r="E14" s="173">
        <v>340000</v>
      </c>
      <c r="F14" s="175"/>
    </row>
    <row r="15" spans="1:6" ht="31.5">
      <c r="A15" s="235"/>
      <c r="B15" s="171"/>
      <c r="C15" s="211"/>
      <c r="D15" s="172"/>
      <c r="E15" s="173"/>
      <c r="F15" s="175"/>
    </row>
    <row r="16" spans="1:6" ht="31.5">
      <c r="A16" s="176"/>
      <c r="B16" s="221"/>
      <c r="C16" s="176"/>
      <c r="D16" s="177"/>
      <c r="E16" s="178"/>
      <c r="F16" s="175"/>
    </row>
    <row r="17" spans="1:6" ht="31.5">
      <c r="A17" s="176"/>
      <c r="B17" s="221"/>
      <c r="C17" s="176"/>
      <c r="D17" s="177"/>
      <c r="E17" s="272">
        <f>SUM(E6:E16)</f>
        <v>2543000</v>
      </c>
      <c r="F17" s="175"/>
    </row>
    <row r="18" spans="1:6" ht="31.5">
      <c r="A18" s="184"/>
      <c r="B18" s="187"/>
      <c r="C18" s="186"/>
      <c r="D18" s="187"/>
      <c r="E18" s="185"/>
      <c r="F18" s="185"/>
    </row>
  </sheetData>
  <mergeCells count="1">
    <mergeCell ref="A2:F2"/>
  </mergeCells>
  <pageMargins left="0.25" right="0.25" top="0.75" bottom="0.75" header="0.3" footer="0.3"/>
  <pageSetup scale="4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view="pageBreakPreview" topLeftCell="A23" zoomScale="50" zoomScaleNormal="60" zoomScaleSheetLayoutView="50" workbookViewId="0">
      <selection activeCell="E7" sqref="E7"/>
    </sheetView>
  </sheetViews>
  <sheetFormatPr baseColWidth="10" defaultRowHeight="15"/>
  <cols>
    <col min="2" max="2" width="35.85546875" customWidth="1"/>
    <col min="3" max="3" width="48.85546875" customWidth="1"/>
    <col min="4" max="4" width="60.7109375" customWidth="1"/>
    <col min="5" max="5" width="37.42578125" customWidth="1"/>
    <col min="6" max="6" width="45" customWidth="1"/>
    <col min="7" max="7" width="32.5703125" bestFit="1" customWidth="1"/>
    <col min="8" max="8" width="37.42578125" customWidth="1"/>
  </cols>
  <sheetData>
    <row r="1" spans="1:8" s="313" customFormat="1" ht="54.75">
      <c r="A1" s="538" t="s">
        <v>739</v>
      </c>
      <c r="B1" s="538"/>
      <c r="C1" s="538"/>
      <c r="D1" s="538"/>
      <c r="E1" s="538"/>
      <c r="F1" s="538"/>
      <c r="G1" s="538"/>
      <c r="H1" s="538"/>
    </row>
    <row r="2" spans="1:8" s="313" customFormat="1" ht="39.75"/>
    <row r="3" spans="1:8" s="313" customFormat="1" ht="39.75"/>
    <row r="5" spans="1:8" s="470" customFormat="1" ht="87">
      <c r="A5" s="381" t="s">
        <v>0</v>
      </c>
      <c r="B5" s="381" t="s">
        <v>69</v>
      </c>
      <c r="C5" s="381" t="s">
        <v>587</v>
      </c>
      <c r="D5" s="381" t="s">
        <v>4</v>
      </c>
      <c r="E5" s="381" t="s">
        <v>21</v>
      </c>
      <c r="F5" s="381" t="s">
        <v>5</v>
      </c>
      <c r="G5" s="381" t="s">
        <v>1</v>
      </c>
      <c r="H5" s="381" t="s">
        <v>7</v>
      </c>
    </row>
    <row r="6" spans="1:8" ht="106.5" customHeight="1">
      <c r="A6" s="444">
        <v>1</v>
      </c>
      <c r="B6" s="445">
        <v>45670</v>
      </c>
      <c r="C6" s="446" t="s">
        <v>70</v>
      </c>
      <c r="D6" s="447" t="s">
        <v>92</v>
      </c>
      <c r="E6" s="448">
        <v>46185</v>
      </c>
      <c r="F6" s="449">
        <v>7906850</v>
      </c>
      <c r="G6" s="450"/>
      <c r="H6" s="450"/>
    </row>
    <row r="7" spans="1:8" ht="117" customHeight="1">
      <c r="A7" s="444">
        <v>2</v>
      </c>
      <c r="B7" s="445"/>
      <c r="C7" s="446" t="s">
        <v>74</v>
      </c>
      <c r="D7" s="447" t="s">
        <v>71</v>
      </c>
      <c r="E7" s="448">
        <v>46185</v>
      </c>
      <c r="F7" s="449">
        <v>7128055</v>
      </c>
      <c r="G7" s="451"/>
      <c r="H7" s="451"/>
    </row>
    <row r="8" spans="1:8" ht="109.5" customHeight="1">
      <c r="A8" s="444">
        <v>3</v>
      </c>
      <c r="B8" s="446" t="s">
        <v>72</v>
      </c>
      <c r="C8" s="446" t="s">
        <v>73</v>
      </c>
      <c r="D8" s="452" t="s">
        <v>75</v>
      </c>
      <c r="E8" s="448">
        <v>46035</v>
      </c>
      <c r="F8" s="453">
        <v>8858050</v>
      </c>
      <c r="G8" s="451"/>
      <c r="H8" s="451"/>
    </row>
    <row r="9" spans="1:8" ht="115.5" customHeight="1">
      <c r="A9" s="444">
        <v>4</v>
      </c>
      <c r="B9" s="445">
        <v>46186</v>
      </c>
      <c r="C9" s="446" t="s">
        <v>76</v>
      </c>
      <c r="D9" s="452" t="s">
        <v>77</v>
      </c>
      <c r="E9" s="448">
        <v>46185</v>
      </c>
      <c r="F9" s="453">
        <v>9930528</v>
      </c>
      <c r="G9" s="451"/>
      <c r="H9" s="451"/>
    </row>
    <row r="10" spans="1:8" ht="129" customHeight="1">
      <c r="A10" s="444">
        <v>5</v>
      </c>
      <c r="B10" s="445">
        <v>45943</v>
      </c>
      <c r="C10" s="446" t="s">
        <v>78</v>
      </c>
      <c r="D10" s="454" t="s">
        <v>81</v>
      </c>
      <c r="E10" s="448">
        <v>46185</v>
      </c>
      <c r="F10" s="453">
        <v>9942418</v>
      </c>
      <c r="G10" s="451"/>
      <c r="H10" s="451"/>
    </row>
    <row r="11" spans="1:8" ht="120" customHeight="1">
      <c r="A11" s="444">
        <v>6</v>
      </c>
      <c r="B11" s="445">
        <v>45943</v>
      </c>
      <c r="C11" s="446" t="s">
        <v>79</v>
      </c>
      <c r="D11" s="454" t="s">
        <v>80</v>
      </c>
      <c r="E11" s="448">
        <v>46185</v>
      </c>
      <c r="F11" s="453">
        <v>9369320</v>
      </c>
      <c r="G11" s="451"/>
      <c r="H11" s="451"/>
    </row>
    <row r="12" spans="1:8" ht="102" customHeight="1">
      <c r="A12" s="444">
        <v>7</v>
      </c>
      <c r="B12" s="455">
        <v>46132</v>
      </c>
      <c r="C12" s="456" t="s">
        <v>82</v>
      </c>
      <c r="D12" s="457" t="s">
        <v>83</v>
      </c>
      <c r="E12" s="458"/>
      <c r="F12" s="459">
        <v>8858050</v>
      </c>
      <c r="G12" s="460"/>
      <c r="H12" s="460"/>
    </row>
    <row r="13" spans="1:8" ht="127.5" customHeight="1">
      <c r="A13" s="444">
        <v>8</v>
      </c>
      <c r="B13" s="455">
        <v>46142</v>
      </c>
      <c r="C13" s="456" t="s">
        <v>84</v>
      </c>
      <c r="D13" s="457" t="s">
        <v>85</v>
      </c>
      <c r="E13" s="461">
        <v>46147</v>
      </c>
      <c r="F13" s="462">
        <v>155000</v>
      </c>
      <c r="G13" s="460"/>
      <c r="H13" s="460"/>
    </row>
    <row r="14" spans="1:8" ht="94.5" customHeight="1">
      <c r="A14" s="444">
        <v>9</v>
      </c>
      <c r="B14" s="455">
        <v>46031</v>
      </c>
      <c r="C14" s="463" t="s">
        <v>86</v>
      </c>
      <c r="D14" s="464" t="s">
        <v>87</v>
      </c>
      <c r="E14" s="461"/>
      <c r="F14" s="462">
        <v>8435955</v>
      </c>
      <c r="G14" s="460"/>
      <c r="H14" s="460"/>
    </row>
    <row r="15" spans="1:8" ht="132" customHeight="1">
      <c r="A15" s="444">
        <v>10</v>
      </c>
      <c r="B15" s="350">
        <v>46111</v>
      </c>
      <c r="C15" s="349" t="s">
        <v>88</v>
      </c>
      <c r="D15" s="465" t="s">
        <v>89</v>
      </c>
      <c r="E15" s="371">
        <v>46216</v>
      </c>
      <c r="F15" s="372">
        <v>8307543</v>
      </c>
      <c r="G15" s="358"/>
      <c r="H15" s="358"/>
    </row>
    <row r="16" spans="1:8" ht="160.5" customHeight="1">
      <c r="A16" s="444">
        <v>11</v>
      </c>
      <c r="B16" s="350">
        <v>46202</v>
      </c>
      <c r="C16" s="349" t="s">
        <v>90</v>
      </c>
      <c r="D16" s="466" t="s">
        <v>91</v>
      </c>
      <c r="E16" s="371">
        <v>46202</v>
      </c>
      <c r="F16" s="372">
        <v>1918452</v>
      </c>
      <c r="G16" s="358"/>
      <c r="H16" s="358"/>
    </row>
    <row r="17" spans="1:8" ht="204" customHeight="1">
      <c r="A17" s="444">
        <v>12</v>
      </c>
      <c r="B17" s="350">
        <v>46090</v>
      </c>
      <c r="C17" s="349" t="s">
        <v>93</v>
      </c>
      <c r="D17" s="465" t="s">
        <v>94</v>
      </c>
      <c r="E17" s="371">
        <v>46216</v>
      </c>
      <c r="F17" s="372">
        <v>9416880</v>
      </c>
      <c r="G17" s="358"/>
      <c r="H17" s="358"/>
    </row>
    <row r="18" spans="1:8" ht="246" customHeight="1">
      <c r="A18" s="444">
        <v>13</v>
      </c>
      <c r="B18" s="350">
        <v>46080</v>
      </c>
      <c r="C18" s="349" t="s">
        <v>95</v>
      </c>
      <c r="D18" s="465" t="s">
        <v>96</v>
      </c>
      <c r="E18" s="371">
        <v>46216</v>
      </c>
      <c r="F18" s="372">
        <v>8614305</v>
      </c>
      <c r="G18" s="358"/>
      <c r="H18" s="358"/>
    </row>
    <row r="19" spans="1:8" ht="87" customHeight="1">
      <c r="A19" s="444">
        <v>14</v>
      </c>
      <c r="B19" s="350">
        <v>46059</v>
      </c>
      <c r="C19" s="349" t="s">
        <v>97</v>
      </c>
      <c r="D19" s="465" t="s">
        <v>98</v>
      </c>
      <c r="E19" s="371">
        <v>46216</v>
      </c>
      <c r="F19" s="372">
        <v>8917381</v>
      </c>
      <c r="G19" s="358"/>
      <c r="H19" s="358"/>
    </row>
    <row r="20" spans="1:8" ht="82.5" customHeight="1">
      <c r="A20" s="444">
        <v>15</v>
      </c>
      <c r="B20" s="349"/>
      <c r="C20" s="357" t="s">
        <v>99</v>
      </c>
      <c r="D20" s="466" t="s">
        <v>100</v>
      </c>
      <c r="E20" s="371">
        <v>46185</v>
      </c>
      <c r="F20" s="372">
        <v>9978682.5</v>
      </c>
      <c r="G20" s="358"/>
      <c r="H20" s="358"/>
    </row>
    <row r="21" spans="1:8" ht="94.5" customHeight="1">
      <c r="A21" s="444">
        <v>16</v>
      </c>
      <c r="B21" s="349"/>
      <c r="C21" s="357" t="s">
        <v>101</v>
      </c>
      <c r="D21" s="466" t="s">
        <v>102</v>
      </c>
      <c r="E21" s="371">
        <v>46185</v>
      </c>
      <c r="F21" s="372">
        <v>9815195</v>
      </c>
      <c r="G21" s="358"/>
      <c r="H21" s="358"/>
    </row>
    <row r="22" spans="1:8" ht="126" customHeight="1">
      <c r="A22" s="444">
        <v>17</v>
      </c>
      <c r="B22" s="350">
        <v>45943</v>
      </c>
      <c r="C22" s="357" t="s">
        <v>103</v>
      </c>
      <c r="D22" s="465" t="s">
        <v>104</v>
      </c>
      <c r="E22" s="371">
        <v>46065</v>
      </c>
      <c r="F22" s="372">
        <v>9957875</v>
      </c>
      <c r="G22" s="358"/>
      <c r="H22" s="358"/>
    </row>
    <row r="23" spans="1:8" ht="129" customHeight="1">
      <c r="A23" s="444">
        <v>18</v>
      </c>
      <c r="B23" s="350">
        <v>46041</v>
      </c>
      <c r="C23" s="357" t="s">
        <v>105</v>
      </c>
      <c r="D23" s="465" t="s">
        <v>106</v>
      </c>
      <c r="E23" s="371">
        <v>46041</v>
      </c>
      <c r="F23" s="372">
        <v>9720075</v>
      </c>
      <c r="G23" s="358"/>
      <c r="H23" s="358"/>
    </row>
    <row r="24" spans="1:8" ht="187.5">
      <c r="A24" s="444">
        <v>19</v>
      </c>
      <c r="B24" s="455">
        <v>46027</v>
      </c>
      <c r="C24" s="463" t="s">
        <v>107</v>
      </c>
      <c r="D24" s="464" t="s">
        <v>94</v>
      </c>
      <c r="E24" s="461">
        <v>46027</v>
      </c>
      <c r="F24" s="462">
        <v>9512000</v>
      </c>
      <c r="G24" s="460"/>
      <c r="H24" s="460"/>
    </row>
    <row r="25" spans="1:8" ht="132" customHeight="1">
      <c r="A25" s="444">
        <v>20</v>
      </c>
      <c r="B25" s="350"/>
      <c r="C25" s="357" t="s">
        <v>97</v>
      </c>
      <c r="D25" s="465" t="s">
        <v>108</v>
      </c>
      <c r="E25" s="371">
        <v>46011</v>
      </c>
      <c r="F25" s="372">
        <v>8435955</v>
      </c>
      <c r="G25" s="358"/>
      <c r="H25" s="358"/>
    </row>
    <row r="26" spans="1:8" ht="160.5" customHeight="1">
      <c r="A26" s="444">
        <v>21</v>
      </c>
      <c r="B26" s="350">
        <v>46029</v>
      </c>
      <c r="C26" s="357" t="s">
        <v>109</v>
      </c>
      <c r="D26" s="465" t="s">
        <v>110</v>
      </c>
      <c r="E26" s="371">
        <v>46030</v>
      </c>
      <c r="F26" s="372"/>
      <c r="G26" s="358"/>
      <c r="H26" s="358"/>
    </row>
    <row r="27" spans="1:8" ht="37.5">
      <c r="A27" s="357"/>
      <c r="B27" s="357"/>
      <c r="C27" s="357"/>
      <c r="D27" s="467"/>
      <c r="E27" s="371"/>
      <c r="F27" s="372"/>
      <c r="G27" s="358"/>
      <c r="H27" s="358"/>
    </row>
    <row r="28" spans="1:8" ht="37.5">
      <c r="A28" s="357"/>
      <c r="B28" s="357"/>
      <c r="C28" s="357"/>
      <c r="D28" s="467"/>
      <c r="E28" s="371"/>
      <c r="F28" s="468">
        <f>SUM(F6:F27)</f>
        <v>165178569.5</v>
      </c>
      <c r="G28" s="358"/>
      <c r="H28" s="358"/>
    </row>
    <row r="29" spans="1:8" ht="37.5">
      <c r="A29" s="357"/>
      <c r="B29" s="357"/>
      <c r="C29" s="357"/>
      <c r="D29" s="467"/>
      <c r="E29" s="371"/>
      <c r="F29" s="469">
        <f>F12+F13+F14+F24</f>
        <v>26961005</v>
      </c>
      <c r="G29" s="467" t="s">
        <v>620</v>
      </c>
      <c r="H29" s="358"/>
    </row>
    <row r="30" spans="1:8" ht="37.5">
      <c r="A30" s="340"/>
      <c r="B30" s="339"/>
      <c r="C30" s="340"/>
      <c r="D30" s="341"/>
      <c r="E30" s="340"/>
      <c r="F30" s="342"/>
      <c r="G30" s="342"/>
      <c r="H30" s="342"/>
    </row>
    <row r="31" spans="1:8" ht="37.5">
      <c r="A31" s="339" t="s">
        <v>738</v>
      </c>
      <c r="B31" s="339"/>
      <c r="C31" s="340"/>
      <c r="D31" s="341"/>
      <c r="E31" s="340"/>
      <c r="F31" s="342"/>
      <c r="G31" s="342"/>
      <c r="H31" s="342"/>
    </row>
    <row r="32" spans="1:8" ht="37.5">
      <c r="A32" s="339" t="s">
        <v>730</v>
      </c>
      <c r="B32" s="339"/>
      <c r="C32" s="340"/>
      <c r="D32" s="341"/>
      <c r="E32" s="340"/>
      <c r="F32" s="342"/>
      <c r="G32" s="342"/>
      <c r="H32" s="342"/>
    </row>
    <row r="33" spans="1:8" ht="33.75">
      <c r="A33" s="370"/>
      <c r="B33" s="370"/>
      <c r="C33" s="370"/>
      <c r="D33" s="370"/>
      <c r="E33" s="370"/>
      <c r="F33" s="370"/>
      <c r="G33" s="370"/>
      <c r="H33" s="370"/>
    </row>
    <row r="34" spans="1:8" ht="33.75">
      <c r="A34" s="370"/>
      <c r="B34" s="370"/>
      <c r="C34" s="370"/>
      <c r="D34" s="370"/>
      <c r="E34" s="370"/>
      <c r="F34" s="370"/>
      <c r="G34" s="370"/>
      <c r="H34" s="370"/>
    </row>
    <row r="35" spans="1:8" ht="33.75">
      <c r="A35" s="370"/>
      <c r="B35" s="370"/>
      <c r="C35" s="370"/>
      <c r="D35" s="370"/>
      <c r="E35" s="370"/>
      <c r="F35" s="370"/>
      <c r="G35" s="370"/>
      <c r="H35" s="370"/>
    </row>
    <row r="36" spans="1:8" ht="33.75">
      <c r="A36" s="370"/>
      <c r="B36" s="370"/>
      <c r="C36" s="370"/>
      <c r="D36" s="370"/>
      <c r="E36" s="370"/>
      <c r="F36" s="370"/>
      <c r="G36" s="370"/>
      <c r="H36" s="370"/>
    </row>
    <row r="37" spans="1:8" ht="33.75">
      <c r="A37" s="370"/>
      <c r="B37" s="370"/>
      <c r="C37" s="370"/>
      <c r="D37" s="370"/>
      <c r="E37" s="370"/>
      <c r="F37" s="370"/>
      <c r="G37" s="370"/>
      <c r="H37" s="370"/>
    </row>
    <row r="38" spans="1:8" ht="33.75">
      <c r="A38" s="370"/>
      <c r="B38" s="370"/>
      <c r="C38" s="370"/>
      <c r="D38" s="370"/>
      <c r="E38" s="370"/>
      <c r="F38" s="370"/>
      <c r="G38" s="370"/>
      <c r="H38" s="370"/>
    </row>
    <row r="39" spans="1:8" ht="33.75">
      <c r="A39" s="370"/>
      <c r="B39" s="370"/>
      <c r="C39" s="370"/>
      <c r="D39" s="370"/>
      <c r="E39" s="370"/>
      <c r="F39" s="370"/>
      <c r="G39" s="370"/>
      <c r="H39" s="370"/>
    </row>
    <row r="40" spans="1:8" ht="33.75">
      <c r="A40" s="370"/>
      <c r="B40" s="370"/>
      <c r="C40" s="370"/>
      <c r="D40" s="370"/>
      <c r="E40" s="370"/>
      <c r="F40" s="370"/>
      <c r="G40" s="370"/>
      <c r="H40" s="370"/>
    </row>
  </sheetData>
  <mergeCells count="1">
    <mergeCell ref="A1:H1"/>
  </mergeCells>
  <pageMargins left="0.23622047244094491" right="0.23622047244094491" top="0.74803149606299213" bottom="0.74803149606299213" header="0.31496062992125984" footer="0.31496062992125984"/>
  <pageSetup paperSize="9" scale="30" orientation="portrait" r:id="rId1"/>
  <rowBreaks count="1" manualBreakCount="1">
    <brk id="23" max="7" man="1"/>
  </rowBreaks>
  <colBreaks count="1" manualBreakCount="1">
    <brk id="12" min="2" max="31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view="pageBreakPreview" topLeftCell="A7" zoomScale="60" zoomScaleNormal="120" workbookViewId="0">
      <selection activeCell="C6" sqref="C6"/>
    </sheetView>
  </sheetViews>
  <sheetFormatPr baseColWidth="10" defaultRowHeight="18"/>
  <cols>
    <col min="1" max="1" width="26.85546875" style="104" customWidth="1"/>
    <col min="2" max="2" width="42.85546875" style="47" customWidth="1"/>
    <col min="3" max="3" width="59.85546875" style="46" customWidth="1"/>
    <col min="4" max="4" width="32.85546875" style="47" customWidth="1"/>
    <col min="5" max="5" width="36.28515625" style="48" customWidth="1"/>
    <col min="6" max="6" width="27.42578125" style="48" customWidth="1"/>
    <col min="7" max="7" width="33.85546875" style="48" customWidth="1"/>
    <col min="8" max="16384" width="11.42578125" style="48"/>
  </cols>
  <sheetData>
    <row r="2" spans="1:7" ht="54.75">
      <c r="A2" s="539" t="s">
        <v>611</v>
      </c>
      <c r="B2" s="539"/>
      <c r="C2" s="539"/>
      <c r="D2" s="539"/>
      <c r="E2" s="539"/>
      <c r="F2" s="539"/>
    </row>
    <row r="3" spans="1:7">
      <c r="A3" s="103"/>
      <c r="B3" s="102"/>
    </row>
    <row r="4" spans="1:7">
      <c r="B4" s="47" t="s">
        <v>2</v>
      </c>
    </row>
    <row r="5" spans="1:7" ht="73.5">
      <c r="A5" s="179" t="s">
        <v>69</v>
      </c>
      <c r="B5" s="179" t="s">
        <v>587</v>
      </c>
      <c r="C5" s="179" t="s">
        <v>4</v>
      </c>
      <c r="D5" s="179" t="s">
        <v>21</v>
      </c>
      <c r="E5" s="179" t="s">
        <v>5</v>
      </c>
      <c r="F5" s="179" t="s">
        <v>1</v>
      </c>
      <c r="G5" s="179" t="s">
        <v>7</v>
      </c>
    </row>
    <row r="6" spans="1:7" s="108" customFormat="1" ht="115.5" customHeight="1">
      <c r="A6" s="235">
        <v>46035</v>
      </c>
      <c r="B6" s="225" t="s">
        <v>682</v>
      </c>
      <c r="C6" s="225" t="s">
        <v>120</v>
      </c>
      <c r="D6" s="200">
        <v>46041</v>
      </c>
      <c r="E6" s="204">
        <v>350000</v>
      </c>
      <c r="F6" s="236"/>
      <c r="G6" s="109"/>
    </row>
    <row r="7" spans="1:7" s="108" customFormat="1" ht="75.75" customHeight="1">
      <c r="A7" s="235">
        <v>46119</v>
      </c>
      <c r="B7" s="225" t="s">
        <v>683</v>
      </c>
      <c r="C7" s="225" t="s">
        <v>121</v>
      </c>
      <c r="D7" s="200">
        <v>46121</v>
      </c>
      <c r="E7" s="204">
        <v>75000</v>
      </c>
      <c r="F7" s="202"/>
      <c r="G7" s="109"/>
    </row>
    <row r="8" spans="1:7" s="108" customFormat="1" ht="120.75" customHeight="1">
      <c r="A8" s="235">
        <v>46158</v>
      </c>
      <c r="B8" s="225" t="s">
        <v>684</v>
      </c>
      <c r="C8" s="225" t="s">
        <v>122</v>
      </c>
      <c r="D8" s="200">
        <v>46161</v>
      </c>
      <c r="E8" s="237">
        <v>350000</v>
      </c>
      <c r="F8" s="202"/>
      <c r="G8" s="109"/>
    </row>
    <row r="9" spans="1:7" s="108" customFormat="1" ht="118.5" customHeight="1">
      <c r="A9" s="235">
        <v>46160</v>
      </c>
      <c r="B9" s="225" t="s">
        <v>685</v>
      </c>
      <c r="C9" s="225" t="s">
        <v>123</v>
      </c>
      <c r="D9" s="200">
        <v>46161</v>
      </c>
      <c r="E9" s="237">
        <v>350000</v>
      </c>
      <c r="F9" s="202"/>
      <c r="G9" s="109"/>
    </row>
    <row r="10" spans="1:7" s="108" customFormat="1" ht="108" customHeight="1">
      <c r="A10" s="235">
        <v>46244</v>
      </c>
      <c r="B10" s="225" t="s">
        <v>686</v>
      </c>
      <c r="C10" s="225" t="s">
        <v>586</v>
      </c>
      <c r="D10" s="200">
        <v>46245</v>
      </c>
      <c r="E10" s="237">
        <v>350000</v>
      </c>
      <c r="F10" s="202"/>
      <c r="G10" s="109"/>
    </row>
    <row r="11" spans="1:7" s="108" customFormat="1" ht="31.5">
      <c r="A11" s="235"/>
      <c r="B11" s="225"/>
      <c r="C11" s="225"/>
      <c r="D11" s="200"/>
      <c r="E11" s="237"/>
      <c r="F11" s="202"/>
      <c r="G11" s="109"/>
    </row>
    <row r="12" spans="1:7" s="108" customFormat="1" ht="31.5">
      <c r="A12" s="235"/>
      <c r="B12" s="225"/>
      <c r="C12" s="225"/>
      <c r="D12" s="200"/>
      <c r="E12" s="237"/>
      <c r="F12" s="202"/>
      <c r="G12" s="109"/>
    </row>
    <row r="13" spans="1:7" s="108" customFormat="1" ht="31.5">
      <c r="A13" s="171"/>
      <c r="B13" s="225"/>
      <c r="C13" s="225"/>
      <c r="D13" s="200"/>
      <c r="E13" s="237"/>
      <c r="F13" s="202"/>
      <c r="G13" s="109"/>
    </row>
    <row r="14" spans="1:7" s="108" customFormat="1" ht="31.5">
      <c r="A14" s="171"/>
      <c r="B14" s="225"/>
      <c r="C14" s="225"/>
      <c r="D14" s="200"/>
      <c r="E14" s="238">
        <f>SUM(E6:E13)</f>
        <v>1475000</v>
      </c>
      <c r="F14" s="202"/>
      <c r="G14" s="109"/>
    </row>
    <row r="15" spans="1:7" s="108" customFormat="1">
      <c r="A15" s="101"/>
      <c r="B15" s="105"/>
      <c r="C15" s="105"/>
      <c r="D15" s="111"/>
      <c r="E15" s="112"/>
      <c r="F15" s="109"/>
      <c r="G15" s="109"/>
    </row>
  </sheetData>
  <mergeCells count="1">
    <mergeCell ref="A2:F2"/>
  </mergeCells>
  <pageMargins left="0.25" right="0.25" top="0.75" bottom="0.75" header="0.3" footer="0.3"/>
  <pageSetup scale="3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view="pageBreakPreview" topLeftCell="A7" zoomScale="60" zoomScaleNormal="120" workbookViewId="0">
      <selection activeCell="E14" sqref="E14"/>
    </sheetView>
  </sheetViews>
  <sheetFormatPr baseColWidth="10" defaultRowHeight="18"/>
  <cols>
    <col min="1" max="1" width="11.42578125" style="48" customWidth="1"/>
    <col min="2" max="2" width="38.28515625" style="104" customWidth="1"/>
    <col min="3" max="3" width="51.140625" style="47" customWidth="1"/>
    <col min="4" max="4" width="45.42578125" style="46" customWidth="1"/>
    <col min="5" max="5" width="33.85546875" style="47" customWidth="1"/>
    <col min="6" max="6" width="39.28515625" style="48" customWidth="1"/>
    <col min="7" max="7" width="25.7109375" style="48" customWidth="1"/>
    <col min="8" max="8" width="36.140625" style="48" customWidth="1"/>
    <col min="9" max="16384" width="11.42578125" style="48"/>
  </cols>
  <sheetData>
    <row r="1" spans="1:10" ht="54.75">
      <c r="A1" s="539" t="s">
        <v>612</v>
      </c>
      <c r="B1" s="539"/>
      <c r="C1" s="539"/>
      <c r="D1" s="539"/>
      <c r="E1" s="539"/>
      <c r="F1" s="539"/>
      <c r="G1" s="539"/>
      <c r="H1" s="539"/>
    </row>
    <row r="2" spans="1:10">
      <c r="B2" s="103"/>
      <c r="C2" s="102"/>
    </row>
    <row r="3" spans="1:10">
      <c r="C3" s="47" t="s">
        <v>2</v>
      </c>
    </row>
    <row r="4" spans="1:10" s="342" customFormat="1" ht="79.5">
      <c r="A4" s="332" t="s">
        <v>0</v>
      </c>
      <c r="B4" s="332" t="s">
        <v>69</v>
      </c>
      <c r="C4" s="332" t="s">
        <v>587</v>
      </c>
      <c r="D4" s="332" t="s">
        <v>4</v>
      </c>
      <c r="E4" s="332" t="s">
        <v>21</v>
      </c>
      <c r="F4" s="332" t="s">
        <v>5</v>
      </c>
      <c r="G4" s="332" t="s">
        <v>1</v>
      </c>
      <c r="H4" s="332" t="s">
        <v>7</v>
      </c>
      <c r="I4" s="380"/>
      <c r="J4" s="380"/>
    </row>
    <row r="5" spans="1:10" s="108" customFormat="1" ht="63">
      <c r="A5" s="199">
        <v>1</v>
      </c>
      <c r="B5" s="211" t="s">
        <v>124</v>
      </c>
      <c r="C5" s="225" t="s">
        <v>125</v>
      </c>
      <c r="D5" s="225" t="s">
        <v>126</v>
      </c>
      <c r="E5" s="200">
        <v>46031</v>
      </c>
      <c r="F5" s="204">
        <v>1035050</v>
      </c>
      <c r="G5" s="236"/>
      <c r="H5" s="199"/>
    </row>
    <row r="6" spans="1:10" s="108" customFormat="1" ht="63">
      <c r="A6" s="199">
        <v>2</v>
      </c>
      <c r="B6" s="235">
        <v>46082</v>
      </c>
      <c r="C6" s="225" t="s">
        <v>127</v>
      </c>
      <c r="D6" s="225" t="s">
        <v>126</v>
      </c>
      <c r="E6" s="200">
        <v>46099</v>
      </c>
      <c r="F6" s="204">
        <v>1035050</v>
      </c>
      <c r="G6" s="199" t="s">
        <v>709</v>
      </c>
      <c r="H6" s="283" t="s">
        <v>717</v>
      </c>
    </row>
    <row r="7" spans="1:10" s="108" customFormat="1" ht="63">
      <c r="A7" s="199">
        <v>3</v>
      </c>
      <c r="B7" s="235">
        <v>46119</v>
      </c>
      <c r="C7" s="225" t="s">
        <v>128</v>
      </c>
      <c r="D7" s="225" t="s">
        <v>129</v>
      </c>
      <c r="E7" s="200">
        <v>46119</v>
      </c>
      <c r="F7" s="237">
        <v>517500</v>
      </c>
      <c r="G7" s="202"/>
      <c r="H7" s="275"/>
    </row>
    <row r="8" spans="1:10" s="108" customFormat="1" ht="43.5" customHeight="1">
      <c r="A8" s="199">
        <v>4</v>
      </c>
      <c r="B8" s="235">
        <v>46143</v>
      </c>
      <c r="C8" s="225" t="s">
        <v>130</v>
      </c>
      <c r="D8" s="225" t="s">
        <v>126</v>
      </c>
      <c r="E8" s="200">
        <v>46168</v>
      </c>
      <c r="F8" s="204">
        <v>1035050</v>
      </c>
      <c r="G8" s="202"/>
      <c r="H8" s="275"/>
    </row>
    <row r="9" spans="1:10" s="108" customFormat="1" ht="94.5">
      <c r="A9" s="199">
        <v>5</v>
      </c>
      <c r="B9" s="235" t="s">
        <v>134</v>
      </c>
      <c r="C9" s="225" t="s">
        <v>133</v>
      </c>
      <c r="D9" s="225" t="s">
        <v>135</v>
      </c>
      <c r="E9" s="200">
        <v>46205</v>
      </c>
      <c r="F9" s="237">
        <v>180000</v>
      </c>
      <c r="G9" s="202"/>
      <c r="H9" s="275"/>
    </row>
    <row r="10" spans="1:10" s="108" customFormat="1" ht="94.5">
      <c r="A10" s="199">
        <v>6</v>
      </c>
      <c r="B10" s="282" t="s">
        <v>131</v>
      </c>
      <c r="C10" s="225" t="s">
        <v>136</v>
      </c>
      <c r="D10" s="225" t="s">
        <v>132</v>
      </c>
      <c r="E10" s="200">
        <v>46205</v>
      </c>
      <c r="F10" s="237">
        <v>150000</v>
      </c>
      <c r="G10" s="202"/>
      <c r="H10" s="275"/>
    </row>
    <row r="11" spans="1:10" s="108" customFormat="1" ht="94.5">
      <c r="A11" s="199">
        <v>7</v>
      </c>
      <c r="B11" s="282" t="s">
        <v>137</v>
      </c>
      <c r="C11" s="225" t="s">
        <v>138</v>
      </c>
      <c r="D11" s="225" t="s">
        <v>139</v>
      </c>
      <c r="E11" s="200">
        <v>46205</v>
      </c>
      <c r="F11" s="237">
        <v>150000</v>
      </c>
      <c r="G11" s="202"/>
      <c r="H11" s="275"/>
    </row>
    <row r="12" spans="1:10" s="108" customFormat="1" ht="63">
      <c r="A12" s="199">
        <v>8</v>
      </c>
      <c r="B12" s="211" t="s">
        <v>140</v>
      </c>
      <c r="C12" s="225" t="s">
        <v>141</v>
      </c>
      <c r="D12" s="225" t="s">
        <v>126</v>
      </c>
      <c r="E12" s="200">
        <v>46223</v>
      </c>
      <c r="F12" s="237">
        <v>1035000</v>
      </c>
      <c r="G12" s="202"/>
      <c r="H12" s="275"/>
    </row>
    <row r="13" spans="1:10" s="108" customFormat="1" ht="31.5">
      <c r="A13" s="199">
        <v>9</v>
      </c>
      <c r="B13" s="235">
        <v>46227</v>
      </c>
      <c r="C13" s="225" t="s">
        <v>807</v>
      </c>
      <c r="D13" s="225" t="s">
        <v>808</v>
      </c>
      <c r="E13" s="200">
        <v>46230</v>
      </c>
      <c r="F13" s="237">
        <v>3622500</v>
      </c>
      <c r="G13" s="202"/>
      <c r="H13" s="275"/>
    </row>
    <row r="14" spans="1:10" s="492" customFormat="1" ht="63.75">
      <c r="A14" s="199">
        <v>10</v>
      </c>
      <c r="B14" s="211" t="s">
        <v>805</v>
      </c>
      <c r="C14" s="225" t="s">
        <v>806</v>
      </c>
      <c r="D14" s="225" t="s">
        <v>126</v>
      </c>
      <c r="E14" s="200">
        <v>46255</v>
      </c>
      <c r="F14" s="237">
        <v>1035000</v>
      </c>
      <c r="G14" s="244"/>
      <c r="H14" s="244"/>
    </row>
    <row r="15" spans="1:10" s="108" customFormat="1" ht="31.5">
      <c r="B15" s="109"/>
      <c r="C15" s="109"/>
      <c r="D15" s="109"/>
      <c r="E15" s="109"/>
      <c r="F15" s="109"/>
      <c r="G15" s="175"/>
      <c r="H15" s="175"/>
    </row>
    <row r="16" spans="1:10" s="108" customFormat="1" ht="31.5">
      <c r="A16" s="199"/>
      <c r="B16" s="221"/>
      <c r="C16" s="221"/>
      <c r="D16" s="221"/>
      <c r="E16" s="177"/>
      <c r="F16" s="272"/>
      <c r="G16" s="175"/>
      <c r="H16" s="175"/>
    </row>
    <row r="17" spans="2:8" s="108" customFormat="1">
      <c r="B17" s="104"/>
      <c r="C17" s="47"/>
      <c r="D17" s="46"/>
      <c r="E17" s="47"/>
      <c r="F17" s="48"/>
      <c r="G17" s="48"/>
      <c r="H17" s="48"/>
    </row>
    <row r="18" spans="2:8" s="108" customFormat="1">
      <c r="B18" s="104"/>
      <c r="C18" s="47"/>
      <c r="D18" s="46"/>
      <c r="E18" s="47"/>
      <c r="F18" s="48"/>
      <c r="G18" s="48"/>
      <c r="H18" s="48"/>
    </row>
    <row r="19" spans="2:8" s="108" customFormat="1">
      <c r="B19" s="104"/>
      <c r="C19" s="47"/>
      <c r="D19" s="46"/>
      <c r="E19" s="47"/>
      <c r="F19" s="48"/>
      <c r="G19" s="48"/>
      <c r="H19" s="48"/>
    </row>
    <row r="20" spans="2:8" s="108" customFormat="1">
      <c r="B20" s="104"/>
      <c r="C20" s="47"/>
      <c r="D20" s="46"/>
      <c r="E20" s="47"/>
      <c r="F20" s="48"/>
      <c r="G20" s="48"/>
      <c r="H20" s="48"/>
    </row>
    <row r="21" spans="2:8" s="108" customFormat="1">
      <c r="B21" s="104"/>
      <c r="C21" s="47"/>
      <c r="D21" s="46"/>
      <c r="E21" s="47"/>
      <c r="F21" s="48"/>
      <c r="G21" s="48"/>
      <c r="H21" s="48"/>
    </row>
    <row r="22" spans="2:8" s="108" customFormat="1">
      <c r="B22" s="104"/>
      <c r="C22" s="47"/>
      <c r="D22" s="46"/>
      <c r="E22" s="47"/>
      <c r="F22" s="48"/>
      <c r="G22" s="48"/>
      <c r="H22" s="48"/>
    </row>
  </sheetData>
  <mergeCells count="1">
    <mergeCell ref="A1:H1"/>
  </mergeCells>
  <pageMargins left="0.25" right="0.25" top="0.75" bottom="0.75" header="0.3" footer="0.3"/>
  <pageSetup scale="3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view="pageBreakPreview" topLeftCell="A8" zoomScale="70" zoomScaleNormal="120" zoomScaleSheetLayoutView="70" workbookViewId="0">
      <selection activeCell="D10" sqref="D10"/>
    </sheetView>
  </sheetViews>
  <sheetFormatPr baseColWidth="10" defaultRowHeight="15.75"/>
  <cols>
    <col min="1" max="1" width="8.28515625" style="1" customWidth="1"/>
    <col min="2" max="2" width="29.7109375" style="19" customWidth="1"/>
    <col min="3" max="3" width="31.140625" style="4" customWidth="1"/>
    <col min="4" max="4" width="31.28515625" style="10" bestFit="1" customWidth="1"/>
    <col min="5" max="5" width="43" style="1" customWidth="1"/>
    <col min="6" max="6" width="23" style="1" customWidth="1"/>
    <col min="7" max="7" width="30.42578125" style="1" customWidth="1"/>
    <col min="8" max="16384" width="11.42578125" style="1"/>
  </cols>
  <sheetData>
    <row r="1" spans="1:7" ht="18.75">
      <c r="A1" s="117"/>
      <c r="B1" s="123"/>
      <c r="C1" s="124"/>
      <c r="D1" s="125"/>
      <c r="E1" s="117"/>
      <c r="F1" s="117"/>
      <c r="G1" s="117"/>
    </row>
    <row r="2" spans="1:7" ht="33.75" customHeight="1">
      <c r="A2" s="540" t="s">
        <v>621</v>
      </c>
      <c r="B2" s="540"/>
      <c r="C2" s="540"/>
      <c r="D2" s="540"/>
      <c r="E2" s="540"/>
      <c r="F2" s="540"/>
      <c r="G2" s="540"/>
    </row>
    <row r="3" spans="1:7" ht="18.75">
      <c r="A3" s="117"/>
      <c r="B3" s="114"/>
      <c r="C3" s="124"/>
      <c r="D3" s="125"/>
      <c r="E3" s="117"/>
      <c r="F3" s="117"/>
      <c r="G3" s="117"/>
    </row>
    <row r="4" spans="1:7" ht="18.75">
      <c r="A4" s="117"/>
      <c r="B4" s="123"/>
      <c r="C4" s="124"/>
      <c r="D4" s="125"/>
      <c r="E4" s="117"/>
      <c r="F4" s="117"/>
      <c r="G4" s="117"/>
    </row>
    <row r="5" spans="1:7" ht="67.5">
      <c r="A5" s="189" t="s">
        <v>0</v>
      </c>
      <c r="B5" s="189" t="s">
        <v>68</v>
      </c>
      <c r="C5" s="189" t="s">
        <v>587</v>
      </c>
      <c r="D5" s="189" t="s">
        <v>21</v>
      </c>
      <c r="E5" s="189" t="s">
        <v>5</v>
      </c>
      <c r="F5" s="189" t="s">
        <v>1</v>
      </c>
      <c r="G5" s="189" t="s">
        <v>7</v>
      </c>
    </row>
    <row r="6" spans="1:7" s="23" customFormat="1" ht="94.5">
      <c r="A6" s="199">
        <v>1</v>
      </c>
      <c r="B6" s="211" t="s">
        <v>113</v>
      </c>
      <c r="C6" s="225" t="s">
        <v>114</v>
      </c>
      <c r="D6" s="200">
        <v>46034</v>
      </c>
      <c r="E6" s="204">
        <v>1844114</v>
      </c>
      <c r="F6" s="236"/>
      <c r="G6" s="236"/>
    </row>
    <row r="7" spans="1:7" s="23" customFormat="1" ht="94.5">
      <c r="A7" s="199">
        <v>2</v>
      </c>
      <c r="B7" s="211" t="s">
        <v>115</v>
      </c>
      <c r="C7" s="225" t="s">
        <v>114</v>
      </c>
      <c r="D7" s="200">
        <v>46041</v>
      </c>
      <c r="E7" s="204">
        <v>1897114</v>
      </c>
      <c r="F7" s="202"/>
      <c r="G7" s="202"/>
    </row>
    <row r="8" spans="1:7" s="23" customFormat="1" ht="94.5">
      <c r="A8" s="199">
        <v>3</v>
      </c>
      <c r="B8" s="211" t="s">
        <v>117</v>
      </c>
      <c r="C8" s="225" t="s">
        <v>114</v>
      </c>
      <c r="D8" s="200">
        <v>46072</v>
      </c>
      <c r="E8" s="237">
        <v>2016268</v>
      </c>
      <c r="F8" s="202"/>
      <c r="G8" s="202"/>
    </row>
    <row r="9" spans="1:7" s="23" customFormat="1" ht="94.5">
      <c r="A9" s="199">
        <v>4</v>
      </c>
      <c r="B9" s="211" t="s">
        <v>116</v>
      </c>
      <c r="C9" s="225" t="s">
        <v>114</v>
      </c>
      <c r="D9" s="200">
        <v>46134</v>
      </c>
      <c r="E9" s="237">
        <v>2116268</v>
      </c>
      <c r="F9" s="202"/>
      <c r="G9" s="202"/>
    </row>
    <row r="10" spans="1:7" s="23" customFormat="1" ht="94.5">
      <c r="A10" s="199">
        <v>5</v>
      </c>
      <c r="B10" s="211" t="s">
        <v>118</v>
      </c>
      <c r="C10" s="225" t="s">
        <v>114</v>
      </c>
      <c r="D10" s="200">
        <v>46220</v>
      </c>
      <c r="E10" s="237">
        <v>2017970</v>
      </c>
      <c r="F10" s="202"/>
      <c r="G10" s="202"/>
    </row>
    <row r="11" spans="1:7" s="23" customFormat="1" ht="94.5">
      <c r="A11" s="199">
        <v>6</v>
      </c>
      <c r="B11" s="211" t="s">
        <v>785</v>
      </c>
      <c r="C11" s="225" t="s">
        <v>114</v>
      </c>
      <c r="D11" s="200">
        <v>46258</v>
      </c>
      <c r="E11" s="237">
        <v>1986970</v>
      </c>
      <c r="G11" s="202"/>
    </row>
    <row r="12" spans="1:7" s="23" customFormat="1" ht="31.5">
      <c r="A12" s="206"/>
      <c r="B12" s="211"/>
      <c r="C12" s="225"/>
      <c r="D12" s="200"/>
      <c r="E12" s="238"/>
      <c r="F12" s="206"/>
      <c r="G12" s="206"/>
    </row>
    <row r="13" spans="1:7" s="23" customFormat="1" ht="28.5">
      <c r="A13" s="206"/>
      <c r="B13" s="383"/>
      <c r="C13" s="228"/>
      <c r="D13" s="230"/>
      <c r="E13" s="231"/>
      <c r="F13" s="206"/>
      <c r="G13" s="206"/>
    </row>
    <row r="14" spans="1:7" s="23" customFormat="1" ht="28.5">
      <c r="A14" s="206"/>
      <c r="B14" s="383"/>
      <c r="C14" s="228"/>
      <c r="D14" s="230"/>
      <c r="E14" s="231"/>
      <c r="F14" s="206"/>
      <c r="G14" s="206"/>
    </row>
  </sheetData>
  <mergeCells count="1">
    <mergeCell ref="A2:G2"/>
  </mergeCells>
  <pageMargins left="0.51181102362204722" right="0.51181102362204722" top="0.55118110236220474" bottom="0.55118110236220474" header="0.31496062992125984" footer="0.31496062992125984"/>
  <pageSetup scale="4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view="pageBreakPreview" zoomScale="60" zoomScaleNormal="120" workbookViewId="0">
      <selection activeCell="L8" sqref="L8"/>
    </sheetView>
  </sheetViews>
  <sheetFormatPr baseColWidth="10" defaultRowHeight="15.75"/>
  <cols>
    <col min="1" max="1" width="17.85546875" style="4" bestFit="1" customWidth="1"/>
    <col min="2" max="2" width="24.85546875" style="19" bestFit="1" customWidth="1"/>
    <col min="3" max="3" width="32.140625" style="10" bestFit="1" customWidth="1"/>
    <col min="4" max="4" width="31.140625" style="4" customWidth="1"/>
    <col min="5" max="5" width="28.5703125" style="10" bestFit="1" customWidth="1"/>
    <col min="6" max="6" width="35.42578125" style="1" bestFit="1" customWidth="1"/>
    <col min="7" max="7" width="20.7109375" style="1" bestFit="1" customWidth="1"/>
    <col min="8" max="8" width="29.7109375" style="1" customWidth="1"/>
    <col min="9" max="16384" width="11.42578125" style="1"/>
  </cols>
  <sheetData>
    <row r="1" spans="1:8" s="117" customFormat="1" ht="18.75">
      <c r="A1" s="124"/>
      <c r="B1" s="123"/>
      <c r="C1" s="125"/>
      <c r="D1" s="124"/>
      <c r="E1" s="125"/>
    </row>
    <row r="2" spans="1:8" s="382" customFormat="1" ht="43.5">
      <c r="A2" s="541" t="s">
        <v>622</v>
      </c>
      <c r="B2" s="541"/>
      <c r="C2" s="541"/>
      <c r="D2" s="541"/>
      <c r="E2" s="541"/>
      <c r="F2" s="541"/>
      <c r="G2" s="541"/>
      <c r="H2" s="541"/>
    </row>
    <row r="3" spans="1:8" s="117" customFormat="1" ht="24">
      <c r="A3" s="326"/>
      <c r="C3" s="127"/>
      <c r="D3" s="124"/>
      <c r="E3" s="125"/>
    </row>
    <row r="4" spans="1:8" s="117" customFormat="1" ht="18.75">
      <c r="A4" s="124"/>
      <c r="B4" s="123"/>
      <c r="C4" s="125" t="s">
        <v>2</v>
      </c>
      <c r="D4" s="124"/>
      <c r="E4" s="125"/>
    </row>
    <row r="5" spans="1:8" s="117" customFormat="1" ht="67.5">
      <c r="A5" s="392" t="s">
        <v>69</v>
      </c>
      <c r="B5" s="189" t="s">
        <v>68</v>
      </c>
      <c r="C5" s="189" t="s">
        <v>588</v>
      </c>
      <c r="D5" s="189" t="s">
        <v>4</v>
      </c>
      <c r="E5" s="189" t="s">
        <v>21</v>
      </c>
      <c r="F5" s="189" t="s">
        <v>5</v>
      </c>
      <c r="G5" s="189" t="s">
        <v>1</v>
      </c>
      <c r="H5" s="189" t="s">
        <v>7</v>
      </c>
    </row>
    <row r="6" spans="1:8" s="384" customFormat="1" ht="94.5">
      <c r="A6" s="317">
        <v>1</v>
      </c>
      <c r="B6" s="211" t="s">
        <v>113</v>
      </c>
      <c r="C6" s="225"/>
      <c r="D6" s="225" t="s">
        <v>114</v>
      </c>
      <c r="E6" s="200">
        <v>46034</v>
      </c>
      <c r="F6" s="204">
        <v>1844114</v>
      </c>
      <c r="G6" s="236"/>
      <c r="H6" s="236"/>
    </row>
    <row r="7" spans="1:8" s="384" customFormat="1" ht="63">
      <c r="A7" s="317">
        <v>2</v>
      </c>
      <c r="B7" s="282">
        <v>46245</v>
      </c>
      <c r="C7" s="225" t="s">
        <v>589</v>
      </c>
      <c r="D7" s="225" t="s">
        <v>114</v>
      </c>
      <c r="E7" s="200">
        <v>46248</v>
      </c>
      <c r="F7" s="204">
        <v>267500</v>
      </c>
      <c r="G7" s="202"/>
      <c r="H7" s="202"/>
    </row>
    <row r="8" spans="1:8" s="384" customFormat="1" ht="31.5">
      <c r="A8" s="389"/>
      <c r="B8" s="211"/>
      <c r="C8" s="225"/>
      <c r="D8" s="225"/>
      <c r="E8" s="200"/>
      <c r="F8" s="237"/>
      <c r="G8" s="202"/>
      <c r="H8" s="202"/>
    </row>
    <row r="9" spans="1:8" s="384" customFormat="1" ht="31.5">
      <c r="A9" s="389"/>
      <c r="B9" s="211"/>
      <c r="C9" s="225"/>
      <c r="D9" s="225"/>
      <c r="E9" s="200"/>
      <c r="F9" s="238">
        <f>SUM(F6:F8)</f>
        <v>2111614</v>
      </c>
      <c r="G9" s="202"/>
      <c r="H9" s="202"/>
    </row>
    <row r="10" spans="1:8" s="384" customFormat="1" ht="31.5">
      <c r="A10" s="389"/>
      <c r="B10" s="211"/>
      <c r="C10" s="225"/>
      <c r="D10" s="225"/>
      <c r="E10" s="200"/>
      <c r="F10" s="237"/>
      <c r="G10" s="202"/>
      <c r="H10" s="202"/>
    </row>
    <row r="11" spans="1:8" s="23" customFormat="1">
      <c r="A11" s="390"/>
      <c r="B11" s="13"/>
      <c r="C11" s="20"/>
      <c r="D11" s="20"/>
      <c r="E11" s="21"/>
      <c r="F11" s="24"/>
      <c r="G11" s="26"/>
      <c r="H11" s="26"/>
    </row>
  </sheetData>
  <mergeCells count="1">
    <mergeCell ref="A2:H2"/>
  </mergeCells>
  <pageMargins left="0.51181102362204722" right="0.51181102362204722" top="0.55118110236220474" bottom="0.55118110236220474" header="0.31496062992125984" footer="0.31496062992125984"/>
  <pageSetup scale="4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view="pageBreakPreview" topLeftCell="A4" zoomScale="70" zoomScaleNormal="120" zoomScaleSheetLayoutView="70" workbookViewId="0">
      <selection activeCell="K6" sqref="K6"/>
    </sheetView>
  </sheetViews>
  <sheetFormatPr baseColWidth="10" defaultRowHeight="15.75"/>
  <cols>
    <col min="1" max="1" width="6.85546875" style="1" bestFit="1" customWidth="1"/>
    <col min="2" max="2" width="26.140625" style="19" bestFit="1" customWidth="1"/>
    <col min="3" max="3" width="63.42578125" style="10" bestFit="1" customWidth="1"/>
    <col min="4" max="4" width="35.42578125" style="4" customWidth="1"/>
    <col min="5" max="5" width="26.85546875" style="10" bestFit="1" customWidth="1"/>
    <col min="6" max="6" width="32" style="1" bestFit="1" customWidth="1"/>
    <col min="7" max="7" width="20.7109375" style="1" bestFit="1" customWidth="1"/>
    <col min="8" max="8" width="28.42578125" style="1" customWidth="1"/>
    <col min="9" max="16384" width="11.42578125" style="1"/>
  </cols>
  <sheetData>
    <row r="2" spans="1:8" s="117" customFormat="1" ht="33.75">
      <c r="A2" s="542" t="s">
        <v>623</v>
      </c>
      <c r="B2" s="542"/>
      <c r="C2" s="542"/>
      <c r="D2" s="542"/>
      <c r="E2" s="542"/>
      <c r="F2" s="542"/>
      <c r="G2" s="542"/>
      <c r="H2" s="542"/>
    </row>
    <row r="3" spans="1:8" s="117" customFormat="1" ht="18.75">
      <c r="B3" s="114"/>
      <c r="C3" s="127"/>
      <c r="D3" s="124"/>
      <c r="E3" s="125"/>
    </row>
    <row r="4" spans="1:8" s="117" customFormat="1" ht="18.75">
      <c r="B4" s="114"/>
      <c r="C4" s="127"/>
      <c r="D4" s="124"/>
      <c r="E4" s="125"/>
    </row>
    <row r="5" spans="1:8" s="117" customFormat="1" ht="18.75">
      <c r="B5" s="123"/>
      <c r="C5" s="125" t="s">
        <v>2</v>
      </c>
      <c r="D5" s="124"/>
      <c r="E5" s="125"/>
    </row>
    <row r="6" spans="1:8" s="117" customFormat="1" ht="67.5">
      <c r="A6" s="222" t="s">
        <v>0</v>
      </c>
      <c r="B6" s="189" t="s">
        <v>69</v>
      </c>
      <c r="C6" s="189" t="s">
        <v>587</v>
      </c>
      <c r="D6" s="189" t="s">
        <v>4</v>
      </c>
      <c r="E6" s="189" t="s">
        <v>21</v>
      </c>
      <c r="F6" s="189" t="s">
        <v>5</v>
      </c>
      <c r="G6" s="189" t="s">
        <v>1</v>
      </c>
      <c r="H6" s="189" t="s">
        <v>7</v>
      </c>
    </row>
    <row r="7" spans="1:8" s="23" customFormat="1" ht="78.75" customHeight="1">
      <c r="A7" s="199">
        <v>1</v>
      </c>
      <c r="B7" s="393">
        <v>46023</v>
      </c>
      <c r="C7" s="225" t="s">
        <v>142</v>
      </c>
      <c r="D7" s="225" t="s">
        <v>143</v>
      </c>
      <c r="E7" s="200">
        <v>46085</v>
      </c>
      <c r="F7" s="204">
        <v>382000</v>
      </c>
      <c r="G7" s="236"/>
      <c r="H7" s="236"/>
    </row>
    <row r="8" spans="1:8" s="23" customFormat="1" ht="80.25" customHeight="1">
      <c r="A8" s="199">
        <v>2</v>
      </c>
      <c r="B8" s="393">
        <v>46185</v>
      </c>
      <c r="C8" s="225" t="s">
        <v>142</v>
      </c>
      <c r="D8" s="225" t="s">
        <v>143</v>
      </c>
      <c r="E8" s="200">
        <v>46185</v>
      </c>
      <c r="F8" s="204">
        <v>152500</v>
      </c>
      <c r="G8" s="202"/>
      <c r="H8" s="202"/>
    </row>
    <row r="9" spans="1:8" s="23" customFormat="1" ht="23.25" customHeight="1">
      <c r="A9" s="202"/>
      <c r="B9" s="394"/>
      <c r="C9" s="225"/>
      <c r="D9" s="225"/>
      <c r="E9" s="200"/>
      <c r="F9" s="237"/>
      <c r="G9" s="202"/>
      <c r="H9" s="202"/>
    </row>
    <row r="10" spans="1:8" s="23" customFormat="1" ht="25.5" customHeight="1">
      <c r="A10" s="202"/>
      <c r="B10" s="394"/>
      <c r="C10" s="225"/>
      <c r="D10" s="225"/>
      <c r="E10" s="200"/>
      <c r="F10" s="238">
        <f>SUM(F7:F9)</f>
        <v>534500</v>
      </c>
      <c r="G10" s="202"/>
      <c r="H10" s="202"/>
    </row>
    <row r="11" spans="1:8" s="23" customFormat="1" ht="29.25" customHeight="1">
      <c r="A11" s="109"/>
      <c r="B11" s="128"/>
      <c r="C11" s="105"/>
      <c r="D11" s="105"/>
      <c r="E11" s="106"/>
      <c r="F11" s="110"/>
      <c r="G11" s="109"/>
      <c r="H11" s="109"/>
    </row>
  </sheetData>
  <mergeCells count="1">
    <mergeCell ref="A2:H2"/>
  </mergeCells>
  <pageMargins left="0.51181102362204722" right="0.51181102362204722" top="0.55118110236220474" bottom="0.55118110236220474" header="0.31496062992125984" footer="0.31496062992125984"/>
  <pageSetup scale="3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view="pageBreakPreview" zoomScale="60" zoomScaleNormal="120" workbookViewId="0">
      <selection activeCell="C5" sqref="C5"/>
    </sheetView>
  </sheetViews>
  <sheetFormatPr baseColWidth="10" defaultRowHeight="21"/>
  <cols>
    <col min="1" max="1" width="11.42578125" style="80"/>
    <col min="2" max="2" width="28.7109375" style="81" bestFit="1" customWidth="1"/>
    <col min="3" max="3" width="37" style="79" customWidth="1"/>
    <col min="4" max="4" width="31.28515625" style="78" customWidth="1"/>
    <col min="5" max="5" width="28.140625" style="79" customWidth="1"/>
    <col min="6" max="6" width="34.140625" style="80" bestFit="1" customWidth="1"/>
    <col min="7" max="7" width="22.28515625" style="80" customWidth="1"/>
    <col min="8" max="8" width="31.42578125" style="80" customWidth="1"/>
    <col min="9" max="16384" width="11.42578125" style="80"/>
  </cols>
  <sheetData>
    <row r="1" spans="1:9" ht="36.75">
      <c r="A1" s="543" t="s">
        <v>624</v>
      </c>
      <c r="B1" s="543"/>
      <c r="C1" s="543"/>
      <c r="D1" s="543"/>
      <c r="E1" s="543"/>
      <c r="F1" s="543"/>
      <c r="G1" s="543"/>
      <c r="H1" s="543"/>
    </row>
    <row r="2" spans="1:9" ht="28.5">
      <c r="A2" s="129"/>
      <c r="B2" s="90"/>
      <c r="C2" s="91"/>
      <c r="D2" s="85"/>
      <c r="E2" s="87"/>
      <c r="F2" s="100"/>
    </row>
    <row r="3" spans="1:9" ht="24">
      <c r="A3" s="129"/>
      <c r="B3" s="86"/>
      <c r="C3" s="87" t="s">
        <v>2</v>
      </c>
      <c r="D3" s="85"/>
      <c r="E3" s="87"/>
      <c r="F3" s="100"/>
    </row>
    <row r="4" spans="1:9" s="329" customFormat="1" ht="67.5">
      <c r="A4" s="222" t="s">
        <v>0</v>
      </c>
      <c r="B4" s="395" t="s">
        <v>69</v>
      </c>
      <c r="C4" s="189" t="s">
        <v>587</v>
      </c>
      <c r="D4" s="189" t="s">
        <v>4</v>
      </c>
      <c r="E4" s="189" t="s">
        <v>21</v>
      </c>
      <c r="F4" s="189" t="s">
        <v>5</v>
      </c>
      <c r="G4" s="189" t="s">
        <v>1</v>
      </c>
      <c r="H4" s="189" t="s">
        <v>7</v>
      </c>
    </row>
    <row r="5" spans="1:9" s="82" customFormat="1" ht="103.5">
      <c r="A5" s="347">
        <v>1</v>
      </c>
      <c r="B5" s="396">
        <v>46135</v>
      </c>
      <c r="C5" s="242" t="s">
        <v>144</v>
      </c>
      <c r="D5" s="242" t="s">
        <v>625</v>
      </c>
      <c r="E5" s="243">
        <v>46136</v>
      </c>
      <c r="F5" s="344">
        <v>744300</v>
      </c>
      <c r="G5" s="385"/>
      <c r="H5" s="385"/>
    </row>
    <row r="6" spans="1:9" s="82" customFormat="1" ht="86.25" customHeight="1">
      <c r="A6" s="347">
        <v>2</v>
      </c>
      <c r="B6" s="396">
        <v>46197</v>
      </c>
      <c r="C6" s="242" t="s">
        <v>145</v>
      </c>
      <c r="D6" s="242"/>
      <c r="E6" s="243">
        <v>46199</v>
      </c>
      <c r="F6" s="387">
        <v>163000</v>
      </c>
      <c r="G6" s="244"/>
      <c r="H6" s="244"/>
    </row>
    <row r="7" spans="1:9" s="82" customFormat="1" ht="86.25" customHeight="1">
      <c r="A7" s="347">
        <v>3</v>
      </c>
      <c r="B7" s="396">
        <v>46231</v>
      </c>
      <c r="C7" s="242" t="s">
        <v>432</v>
      </c>
      <c r="D7" s="242"/>
      <c r="E7" s="243">
        <v>46232</v>
      </c>
      <c r="F7" s="387">
        <v>67000</v>
      </c>
      <c r="G7" s="244"/>
      <c r="H7" s="244"/>
    </row>
    <row r="8" spans="1:9" s="82" customFormat="1" ht="30" customHeight="1">
      <c r="A8" s="347">
        <v>4</v>
      </c>
      <c r="B8" s="397"/>
      <c r="C8" s="242"/>
      <c r="D8" s="242"/>
      <c r="E8" s="243"/>
      <c r="F8" s="388"/>
      <c r="G8" s="244"/>
      <c r="H8" s="244"/>
    </row>
    <row r="9" spans="1:9" s="82" customFormat="1" ht="36.75" customHeight="1">
      <c r="A9" s="347">
        <v>5</v>
      </c>
      <c r="B9" s="397"/>
      <c r="C9" s="242"/>
      <c r="D9" s="242"/>
      <c r="E9" s="243"/>
      <c r="F9" s="388"/>
      <c r="G9" s="244"/>
      <c r="H9" s="244"/>
    </row>
    <row r="10" spans="1:9" s="82" customFormat="1" ht="35.25" customHeight="1">
      <c r="A10" s="244"/>
      <c r="B10" s="398"/>
      <c r="C10" s="242"/>
      <c r="D10" s="242"/>
      <c r="E10" s="243"/>
      <c r="F10" s="388">
        <f>SUM(F5:F9)</f>
        <v>974300</v>
      </c>
      <c r="G10" s="244"/>
      <c r="H10" s="399"/>
    </row>
    <row r="11" spans="1:9" s="82" customFormat="1" ht="34.5">
      <c r="A11" s="400"/>
      <c r="B11" s="401"/>
      <c r="C11" s="402"/>
      <c r="D11" s="403"/>
      <c r="E11" s="404"/>
      <c r="F11" s="405"/>
      <c r="G11" s="406"/>
      <c r="H11" s="407"/>
    </row>
    <row r="12" spans="1:9" s="82" customFormat="1" ht="22.5">
      <c r="A12" s="144"/>
      <c r="B12" s="140"/>
      <c r="C12" s="141"/>
      <c r="D12" s="141"/>
      <c r="E12" s="142"/>
      <c r="F12" s="143"/>
      <c r="G12" s="144"/>
      <c r="H12" s="134"/>
      <c r="I12" s="134"/>
    </row>
    <row r="13" spans="1:9" s="82" customFormat="1">
      <c r="A13" s="134"/>
      <c r="B13" s="130"/>
      <c r="C13" s="131"/>
      <c r="D13" s="131"/>
      <c r="E13" s="132"/>
      <c r="F13" s="133"/>
      <c r="G13" s="134"/>
      <c r="H13" s="134"/>
      <c r="I13" s="134"/>
    </row>
    <row r="14" spans="1:9" s="82" customFormat="1">
      <c r="A14" s="134"/>
      <c r="B14" s="130"/>
      <c r="C14" s="131"/>
      <c r="D14" s="131"/>
      <c r="E14" s="132"/>
      <c r="F14" s="133"/>
      <c r="G14" s="134"/>
      <c r="H14" s="134"/>
      <c r="I14" s="134"/>
    </row>
    <row r="15" spans="1:9" s="82" customFormat="1">
      <c r="A15" s="134"/>
      <c r="B15" s="130"/>
      <c r="C15" s="131"/>
      <c r="D15" s="131"/>
      <c r="E15" s="132"/>
      <c r="F15" s="133"/>
      <c r="G15" s="134"/>
      <c r="H15" s="134"/>
      <c r="I15" s="134"/>
    </row>
    <row r="16" spans="1:9" s="82" customFormat="1">
      <c r="A16" s="134"/>
      <c r="B16" s="130"/>
      <c r="C16" s="131"/>
      <c r="D16" s="131"/>
      <c r="E16" s="132"/>
      <c r="F16" s="133"/>
      <c r="G16" s="134"/>
      <c r="H16" s="134"/>
      <c r="I16" s="134"/>
    </row>
    <row r="17" spans="1:9" s="82" customFormat="1">
      <c r="A17" s="129"/>
      <c r="B17" s="135"/>
      <c r="C17" s="136"/>
      <c r="D17" s="137"/>
      <c r="E17" s="136"/>
      <c r="F17" s="129"/>
      <c r="G17" s="129"/>
      <c r="H17" s="129"/>
      <c r="I17" s="134"/>
    </row>
    <row r="18" spans="1:9">
      <c r="A18" s="129"/>
      <c r="B18" s="135"/>
      <c r="C18" s="136"/>
      <c r="D18" s="137"/>
      <c r="E18" s="136"/>
      <c r="F18" s="129"/>
      <c r="G18" s="129"/>
      <c r="H18" s="129"/>
      <c r="I18" s="129"/>
    </row>
    <row r="19" spans="1:9">
      <c r="B19" s="135"/>
      <c r="C19" s="136"/>
      <c r="D19" s="137"/>
      <c r="E19" s="136"/>
      <c r="F19" s="129"/>
      <c r="G19" s="129"/>
      <c r="H19" s="129"/>
      <c r="I19" s="129"/>
    </row>
    <row r="20" spans="1:9">
      <c r="B20" s="135"/>
      <c r="C20" s="136"/>
      <c r="D20" s="137"/>
      <c r="E20" s="136"/>
      <c r="F20" s="129"/>
      <c r="G20" s="129"/>
      <c r="H20" s="129"/>
      <c r="I20" s="129"/>
    </row>
    <row r="21" spans="1:9">
      <c r="I21" s="129"/>
    </row>
  </sheetData>
  <mergeCells count="1">
    <mergeCell ref="A1:H1"/>
  </mergeCells>
  <pageMargins left="0.51181102362204722" right="0.51181102362204722" top="0.55118110236220474" bottom="0.55118110236220474" header="0.31496062992125984" footer="0.31496062992125984"/>
  <pageSetup scale="4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view="pageBreakPreview" zoomScale="60" zoomScaleNormal="120" workbookViewId="0">
      <selection activeCell="F15" sqref="F15"/>
    </sheetView>
  </sheetViews>
  <sheetFormatPr baseColWidth="10" defaultRowHeight="15.75"/>
  <cols>
    <col min="1" max="1" width="26.5703125" style="19" customWidth="1"/>
    <col min="2" max="2" width="27" style="10" customWidth="1"/>
    <col min="3" max="3" width="31.140625" style="4" customWidth="1"/>
    <col min="4" max="4" width="28.28515625" style="10" bestFit="1" customWidth="1"/>
    <col min="5" max="5" width="34.85546875" style="1" bestFit="1" customWidth="1"/>
    <col min="6" max="6" width="25.7109375" style="1" customWidth="1"/>
    <col min="7" max="7" width="30.85546875" style="1" customWidth="1"/>
    <col min="8" max="16384" width="11.42578125" style="1"/>
  </cols>
  <sheetData>
    <row r="2" spans="1:7" ht="43.5">
      <c r="A2" s="541" t="s">
        <v>767</v>
      </c>
      <c r="B2" s="541"/>
      <c r="C2" s="541"/>
      <c r="D2" s="541"/>
      <c r="E2" s="541"/>
      <c r="F2" s="541"/>
      <c r="G2" s="541"/>
    </row>
    <row r="3" spans="1:7">
      <c r="A3" s="18"/>
      <c r="B3" s="14"/>
    </row>
    <row r="4" spans="1:7">
      <c r="B4" s="10" t="s">
        <v>2</v>
      </c>
    </row>
    <row r="5" spans="1:7" s="185" customFormat="1" ht="63">
      <c r="A5" s="273" t="s">
        <v>68</v>
      </c>
      <c r="B5" s="273" t="s">
        <v>587</v>
      </c>
      <c r="C5" s="273" t="s">
        <v>4</v>
      </c>
      <c r="D5" s="273" t="s">
        <v>21</v>
      </c>
      <c r="E5" s="273" t="s">
        <v>5</v>
      </c>
      <c r="F5" s="273" t="s">
        <v>1</v>
      </c>
      <c r="G5" s="273" t="s">
        <v>7</v>
      </c>
    </row>
    <row r="6" spans="1:7" s="233" customFormat="1" ht="63">
      <c r="A6" s="235">
        <v>46258</v>
      </c>
      <c r="B6" s="225" t="s">
        <v>784</v>
      </c>
      <c r="C6" s="225" t="s">
        <v>147</v>
      </c>
      <c r="D6" s="200">
        <v>46258</v>
      </c>
      <c r="E6" s="204">
        <v>1171607</v>
      </c>
      <c r="F6" s="202"/>
      <c r="G6" s="202"/>
    </row>
    <row r="7" spans="1:7" s="233" customFormat="1" ht="31.5">
      <c r="A7" s="394"/>
      <c r="B7" s="225"/>
      <c r="C7" s="225"/>
      <c r="D7" s="200"/>
      <c r="E7" s="237"/>
      <c r="F7" s="202"/>
      <c r="G7" s="202"/>
    </row>
    <row r="8" spans="1:7" s="384" customFormat="1" ht="28.5">
      <c r="A8" s="408"/>
      <c r="B8" s="228"/>
      <c r="C8" s="228"/>
      <c r="D8" s="255"/>
      <c r="E8" s="409"/>
      <c r="F8" s="206"/>
      <c r="G8" s="206"/>
    </row>
    <row r="9" spans="1:7" s="384" customFormat="1" ht="31.5">
      <c r="A9" s="408"/>
      <c r="B9" s="228"/>
      <c r="C9" s="228"/>
      <c r="D9" s="255"/>
      <c r="E9" s="410">
        <f>SUM(E6:E8)</f>
        <v>1171607</v>
      </c>
      <c r="F9" s="206"/>
      <c r="G9" s="206"/>
    </row>
    <row r="10" spans="1:7" s="329" customFormat="1" ht="28.5">
      <c r="A10" s="354"/>
      <c r="B10" s="355"/>
      <c r="C10" s="356"/>
      <c r="D10" s="355"/>
    </row>
  </sheetData>
  <mergeCells count="1">
    <mergeCell ref="A2:G2"/>
  </mergeCells>
  <pageMargins left="0.23622047244094491" right="0.23622047244094491" top="0.74803149606299213" bottom="0.74803149606299213" header="0.31496062992125984" footer="0.31496062992125984"/>
  <pageSetup scale="5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view="pageBreakPreview" zoomScale="60" zoomScaleNormal="120" workbookViewId="0">
      <selection activeCell="B5" sqref="B5"/>
    </sheetView>
  </sheetViews>
  <sheetFormatPr baseColWidth="10" defaultRowHeight="15.75"/>
  <cols>
    <col min="1" max="1" width="15.140625" style="19" bestFit="1" customWidth="1"/>
    <col min="2" max="2" width="27" style="10" customWidth="1"/>
    <col min="3" max="3" width="31.140625" style="4" customWidth="1"/>
    <col min="4" max="4" width="26.42578125" style="10" bestFit="1" customWidth="1"/>
    <col min="5" max="5" width="30.85546875" style="1" bestFit="1" customWidth="1"/>
    <col min="6" max="6" width="25.7109375" style="1" customWidth="1"/>
    <col min="7" max="7" width="30.85546875" style="1" customWidth="1"/>
    <col min="8" max="16384" width="11.42578125" style="1"/>
  </cols>
  <sheetData>
    <row r="2" spans="1:7" ht="43.5">
      <c r="A2" s="541" t="s">
        <v>767</v>
      </c>
      <c r="B2" s="541"/>
      <c r="C2" s="541"/>
      <c r="D2" s="541"/>
      <c r="E2" s="541"/>
      <c r="F2" s="541"/>
      <c r="G2" s="541"/>
    </row>
    <row r="3" spans="1:7">
      <c r="A3" s="18"/>
      <c r="B3" s="14"/>
    </row>
    <row r="4" spans="1:7">
      <c r="B4" s="10" t="s">
        <v>2</v>
      </c>
    </row>
    <row r="5" spans="1:7" s="185" customFormat="1" ht="63">
      <c r="A5" s="273" t="s">
        <v>68</v>
      </c>
      <c r="B5" s="273" t="s">
        <v>587</v>
      </c>
      <c r="C5" s="273" t="s">
        <v>4</v>
      </c>
      <c r="D5" s="273" t="s">
        <v>21</v>
      </c>
      <c r="E5" s="273" t="s">
        <v>5</v>
      </c>
      <c r="F5" s="273" t="s">
        <v>1</v>
      </c>
      <c r="G5" s="273" t="s">
        <v>7</v>
      </c>
    </row>
    <row r="6" spans="1:7" s="233" customFormat="1" ht="63">
      <c r="A6" s="393" t="s">
        <v>146</v>
      </c>
      <c r="B6" s="225" t="s">
        <v>766</v>
      </c>
      <c r="C6" s="225" t="s">
        <v>147</v>
      </c>
      <c r="D6" s="200">
        <v>46085</v>
      </c>
      <c r="E6" s="204">
        <v>230160</v>
      </c>
      <c r="F6" s="202"/>
      <c r="G6" s="202"/>
    </row>
    <row r="7" spans="1:7" s="233" customFormat="1" ht="31.5">
      <c r="A7" s="394"/>
      <c r="B7" s="225"/>
      <c r="C7" s="225"/>
      <c r="D7" s="200"/>
      <c r="E7" s="237"/>
      <c r="F7" s="202"/>
      <c r="G7" s="202"/>
    </row>
    <row r="8" spans="1:7" s="384" customFormat="1" ht="28.5">
      <c r="A8" s="408"/>
      <c r="B8" s="228"/>
      <c r="C8" s="228"/>
      <c r="D8" s="255"/>
      <c r="E8" s="409"/>
      <c r="F8" s="206"/>
      <c r="G8" s="206"/>
    </row>
    <row r="9" spans="1:7" s="384" customFormat="1" ht="31.5">
      <c r="A9" s="408"/>
      <c r="B9" s="228"/>
      <c r="C9" s="228"/>
      <c r="D9" s="255"/>
      <c r="E9" s="410">
        <f>SUM(E6:E8)</f>
        <v>230160</v>
      </c>
      <c r="F9" s="206"/>
      <c r="G9" s="206"/>
    </row>
    <row r="10" spans="1:7" s="329" customFormat="1" ht="28.5">
      <c r="A10" s="354"/>
      <c r="B10" s="355"/>
      <c r="C10" s="356"/>
      <c r="D10" s="355"/>
    </row>
  </sheetData>
  <mergeCells count="1">
    <mergeCell ref="A2:G2"/>
  </mergeCells>
  <pageMargins left="0.23622047244094491" right="0.23622047244094491" top="0.74803149606299213" bottom="0.74803149606299213" header="0.31496062992125984" footer="0.31496062992125984"/>
  <pageSetup scale="5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view="pageBreakPreview" zoomScale="70" zoomScaleNormal="120" zoomScaleSheetLayoutView="70" workbookViewId="0">
      <selection activeCell="D12" sqref="D12"/>
    </sheetView>
  </sheetViews>
  <sheetFormatPr baseColWidth="10" defaultRowHeight="15.75"/>
  <cols>
    <col min="1" max="1" width="10" style="5" customWidth="1"/>
    <col min="2" max="2" width="34.28515625" style="19" bestFit="1" customWidth="1"/>
    <col min="3" max="3" width="43.85546875" style="10" bestFit="1" customWidth="1"/>
    <col min="4" max="4" width="31.140625" style="4" customWidth="1"/>
    <col min="5" max="5" width="31.140625" style="10" bestFit="1" customWidth="1"/>
    <col min="6" max="6" width="35.42578125" style="1" bestFit="1" customWidth="1"/>
    <col min="7" max="7" width="22.140625" style="1" customWidth="1"/>
    <col min="8" max="8" width="30" style="1" customWidth="1"/>
    <col min="9" max="16384" width="11.42578125" style="1"/>
  </cols>
  <sheetData>
    <row r="2" spans="1:8" s="117" customFormat="1" ht="43.5">
      <c r="A2" s="544" t="s">
        <v>626</v>
      </c>
      <c r="B2" s="544"/>
      <c r="C2" s="544"/>
      <c r="D2" s="544"/>
      <c r="E2" s="544"/>
      <c r="F2" s="544"/>
      <c r="G2" s="544"/>
      <c r="H2" s="544"/>
    </row>
    <row r="3" spans="1:8" s="117" customFormat="1" ht="18.75">
      <c r="A3" s="146"/>
      <c r="B3" s="114"/>
      <c r="C3" s="127"/>
      <c r="D3" s="124"/>
      <c r="E3" s="125"/>
    </row>
    <row r="4" spans="1:8" s="117" customFormat="1" ht="18.75">
      <c r="A4" s="146"/>
      <c r="B4" s="123"/>
      <c r="C4" s="125" t="s">
        <v>2</v>
      </c>
      <c r="D4" s="124"/>
      <c r="E4" s="125"/>
    </row>
    <row r="5" spans="1:8" s="117" customFormat="1" ht="67.5">
      <c r="A5" s="411" t="s">
        <v>0</v>
      </c>
      <c r="B5" s="189" t="s">
        <v>68</v>
      </c>
      <c r="C5" s="189" t="s">
        <v>587</v>
      </c>
      <c r="D5" s="189" t="s">
        <v>4</v>
      </c>
      <c r="E5" s="189" t="s">
        <v>21</v>
      </c>
      <c r="F5" s="189" t="s">
        <v>5</v>
      </c>
      <c r="G5" s="189" t="s">
        <v>1</v>
      </c>
      <c r="H5" s="189" t="s">
        <v>7</v>
      </c>
    </row>
    <row r="6" spans="1:8" s="23" customFormat="1" ht="70.5" customHeight="1">
      <c r="A6" s="247">
        <v>1</v>
      </c>
      <c r="B6" s="394" t="s">
        <v>148</v>
      </c>
      <c r="C6" s="225" t="s">
        <v>149</v>
      </c>
      <c r="D6" s="225" t="s">
        <v>147</v>
      </c>
      <c r="E6" s="200">
        <v>46027</v>
      </c>
      <c r="F6" s="204">
        <v>2619595</v>
      </c>
      <c r="G6" s="202"/>
      <c r="H6" s="202"/>
    </row>
    <row r="7" spans="1:8" s="23" customFormat="1" ht="85.5" customHeight="1">
      <c r="A7" s="247">
        <v>2</v>
      </c>
      <c r="B7" s="393">
        <v>46023</v>
      </c>
      <c r="C7" s="225" t="s">
        <v>150</v>
      </c>
      <c r="D7" s="225" t="s">
        <v>147</v>
      </c>
      <c r="E7" s="200">
        <v>46057</v>
      </c>
      <c r="F7" s="237">
        <v>1392565</v>
      </c>
      <c r="G7" s="202"/>
      <c r="H7" s="202"/>
    </row>
    <row r="8" spans="1:8" s="23" customFormat="1" ht="33.75" customHeight="1">
      <c r="A8" s="389"/>
      <c r="B8" s="394"/>
      <c r="C8" s="225"/>
      <c r="D8" s="225"/>
      <c r="E8" s="200"/>
      <c r="F8" s="237"/>
      <c r="G8" s="202"/>
      <c r="H8" s="202"/>
    </row>
    <row r="9" spans="1:8" s="23" customFormat="1" ht="30" customHeight="1">
      <c r="A9" s="391"/>
      <c r="B9" s="394"/>
      <c r="C9" s="225"/>
      <c r="D9" s="225"/>
      <c r="E9" s="200"/>
      <c r="F9" s="238">
        <f>SUM(F6:F8)</f>
        <v>4012160</v>
      </c>
      <c r="G9" s="202"/>
      <c r="H9" s="202"/>
    </row>
    <row r="10" spans="1:8" s="23" customFormat="1" ht="34.5" customHeight="1">
      <c r="A10" s="391"/>
      <c r="B10" s="394"/>
      <c r="C10" s="412"/>
      <c r="D10" s="225"/>
      <c r="E10" s="200"/>
      <c r="F10" s="237"/>
      <c r="G10" s="202"/>
      <c r="H10" s="202"/>
    </row>
    <row r="11" spans="1:8" s="23" customFormat="1" ht="26.25" customHeight="1">
      <c r="A11" s="391"/>
      <c r="B11" s="394"/>
      <c r="C11" s="225"/>
      <c r="D11" s="225"/>
      <c r="E11" s="200"/>
      <c r="F11" s="237"/>
      <c r="G11" s="202"/>
      <c r="H11" s="202"/>
    </row>
    <row r="12" spans="1:8" s="23" customFormat="1" ht="31.5">
      <c r="A12" s="413"/>
      <c r="B12" s="394"/>
      <c r="C12" s="225"/>
      <c r="D12" s="225"/>
      <c r="E12" s="203"/>
      <c r="F12" s="205"/>
      <c r="G12" s="202"/>
      <c r="H12" s="202"/>
    </row>
  </sheetData>
  <mergeCells count="1">
    <mergeCell ref="A2:H2"/>
  </mergeCells>
  <pageMargins left="0.51181102362204722" right="0.51181102362204722" top="0.55118110236220474" bottom="0.55118110236220474" header="0.31496062992125984" footer="0.31496062992125984"/>
  <pageSetup scale="4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view="pageBreakPreview" topLeftCell="A13" zoomScale="40" zoomScaleNormal="120" zoomScaleSheetLayoutView="40" workbookViewId="0">
      <selection activeCell="D6" sqref="D6"/>
    </sheetView>
  </sheetViews>
  <sheetFormatPr baseColWidth="10" defaultRowHeight="15.75"/>
  <cols>
    <col min="1" max="1" width="8.7109375" style="1" customWidth="1"/>
    <col min="2" max="2" width="30.7109375" style="19" bestFit="1" customWidth="1"/>
    <col min="3" max="3" width="45.5703125" style="10" customWidth="1"/>
    <col min="4" max="4" width="73" style="4" customWidth="1"/>
    <col min="5" max="5" width="32.42578125" style="10" bestFit="1" customWidth="1"/>
    <col min="6" max="6" width="51.5703125" style="1" bestFit="1" customWidth="1"/>
    <col min="7" max="7" width="34.28515625" style="1" customWidth="1"/>
    <col min="8" max="16384" width="11.42578125" style="1"/>
  </cols>
  <sheetData>
    <row r="2" spans="1:7" s="414" customFormat="1" ht="40.5" customHeight="1">
      <c r="A2" s="540" t="s">
        <v>627</v>
      </c>
      <c r="B2" s="540"/>
      <c r="C2" s="540"/>
      <c r="D2" s="540"/>
      <c r="E2" s="540"/>
      <c r="F2" s="540"/>
      <c r="G2" s="540"/>
    </row>
    <row r="3" spans="1:7" s="117" customFormat="1" ht="18.75">
      <c r="B3" s="114"/>
      <c r="C3" s="127"/>
      <c r="D3" s="124"/>
      <c r="E3" s="125"/>
    </row>
    <row r="4" spans="1:7" s="117" customFormat="1" ht="18.75">
      <c r="B4" s="123"/>
      <c r="C4" s="125" t="s">
        <v>2</v>
      </c>
      <c r="D4" s="124"/>
      <c r="E4" s="125"/>
    </row>
    <row r="5" spans="1:7" s="117" customFormat="1" ht="73.5">
      <c r="A5" s="190" t="s">
        <v>0</v>
      </c>
      <c r="B5" s="190" t="s">
        <v>68</v>
      </c>
      <c r="C5" s="190" t="s">
        <v>587</v>
      </c>
      <c r="D5" s="190" t="s">
        <v>4</v>
      </c>
      <c r="E5" s="190" t="s">
        <v>21</v>
      </c>
      <c r="F5" s="190" t="s">
        <v>5</v>
      </c>
      <c r="G5" s="190" t="s">
        <v>1</v>
      </c>
    </row>
    <row r="6" spans="1:7" s="23" customFormat="1" ht="115.5" customHeight="1">
      <c r="A6" s="250">
        <v>1</v>
      </c>
      <c r="B6" s="257">
        <v>46105</v>
      </c>
      <c r="C6" s="242" t="s">
        <v>151</v>
      </c>
      <c r="D6" s="258" t="s">
        <v>155</v>
      </c>
      <c r="E6" s="243">
        <v>46114</v>
      </c>
      <c r="F6" s="259">
        <v>9799999.5</v>
      </c>
      <c r="G6" s="244"/>
    </row>
    <row r="7" spans="1:7" s="23" customFormat="1" ht="87" customHeight="1">
      <c r="A7" s="250">
        <v>2</v>
      </c>
      <c r="B7" s="257">
        <v>46105</v>
      </c>
      <c r="C7" s="242" t="s">
        <v>152</v>
      </c>
      <c r="D7" s="258" t="s">
        <v>156</v>
      </c>
      <c r="E7" s="243">
        <v>46114</v>
      </c>
      <c r="F7" s="259">
        <v>7370449.2199999997</v>
      </c>
      <c r="G7" s="244"/>
    </row>
    <row r="8" spans="1:7" s="23" customFormat="1" ht="126" customHeight="1">
      <c r="A8" s="250">
        <v>3</v>
      </c>
      <c r="B8" s="257">
        <v>46157</v>
      </c>
      <c r="C8" s="242" t="s">
        <v>153</v>
      </c>
      <c r="D8" s="258" t="s">
        <v>157</v>
      </c>
      <c r="E8" s="243">
        <v>46163</v>
      </c>
      <c r="F8" s="260">
        <v>2306660</v>
      </c>
      <c r="G8" s="244"/>
    </row>
    <row r="9" spans="1:7" s="23" customFormat="1" ht="91.5" customHeight="1">
      <c r="A9" s="250">
        <v>4</v>
      </c>
      <c r="B9" s="257">
        <v>46176</v>
      </c>
      <c r="C9" s="242" t="s">
        <v>154</v>
      </c>
      <c r="D9" s="258" t="s">
        <v>158</v>
      </c>
      <c r="E9" s="243">
        <v>46224</v>
      </c>
      <c r="F9" s="260">
        <v>95562</v>
      </c>
      <c r="G9" s="244"/>
    </row>
    <row r="10" spans="1:7" s="23" customFormat="1" ht="106.5" customHeight="1">
      <c r="A10" s="250">
        <v>5</v>
      </c>
      <c r="B10" s="257">
        <v>46207</v>
      </c>
      <c r="C10" s="242" t="s">
        <v>159</v>
      </c>
      <c r="D10" s="258" t="s">
        <v>158</v>
      </c>
      <c r="E10" s="243"/>
      <c r="F10" s="260">
        <v>72000</v>
      </c>
      <c r="G10" s="244"/>
    </row>
    <row r="11" spans="1:7" s="23" customFormat="1" ht="115.5" customHeight="1">
      <c r="A11" s="250">
        <v>6</v>
      </c>
      <c r="B11" s="257">
        <v>46211</v>
      </c>
      <c r="C11" s="242" t="s">
        <v>160</v>
      </c>
      <c r="D11" s="258" t="s">
        <v>161</v>
      </c>
      <c r="E11" s="243"/>
      <c r="F11" s="260">
        <v>8944252.5</v>
      </c>
      <c r="G11" s="244"/>
    </row>
    <row r="12" spans="1:7" s="23" customFormat="1" ht="81" customHeight="1">
      <c r="A12" s="251">
        <v>7</v>
      </c>
      <c r="B12" s="257">
        <v>46139</v>
      </c>
      <c r="C12" s="242" t="s">
        <v>153</v>
      </c>
      <c r="D12" s="258" t="s">
        <v>580</v>
      </c>
      <c r="E12" s="245">
        <v>46247</v>
      </c>
      <c r="F12" s="260">
        <v>725000</v>
      </c>
      <c r="G12" s="244"/>
    </row>
    <row r="13" spans="1:7" ht="180" customHeight="1">
      <c r="A13" s="261">
        <v>8</v>
      </c>
      <c r="B13" s="257">
        <v>46153</v>
      </c>
      <c r="C13" s="242" t="s">
        <v>688</v>
      </c>
      <c r="D13" s="252" t="s">
        <v>689</v>
      </c>
      <c r="E13" s="182">
        <v>46253</v>
      </c>
      <c r="F13" s="183">
        <v>2306660</v>
      </c>
      <c r="G13" s="181"/>
    </row>
    <row r="14" spans="1:7" ht="268.5" customHeight="1">
      <c r="A14" s="169">
        <v>9</v>
      </c>
      <c r="B14" s="257">
        <v>46207</v>
      </c>
      <c r="C14" s="169" t="s">
        <v>690</v>
      </c>
      <c r="D14" s="252" t="s">
        <v>691</v>
      </c>
      <c r="E14" s="182">
        <v>46253</v>
      </c>
      <c r="F14" s="262">
        <v>8944252.5</v>
      </c>
      <c r="G14" s="181"/>
    </row>
    <row r="15" spans="1:7" ht="34.5">
      <c r="A15" s="181"/>
      <c r="B15" s="257"/>
      <c r="C15" s="169"/>
      <c r="D15" s="252"/>
      <c r="E15" s="182"/>
      <c r="F15" s="262"/>
      <c r="G15" s="181"/>
    </row>
    <row r="16" spans="1:7" ht="37.5">
      <c r="A16" s="181"/>
      <c r="B16" s="180"/>
      <c r="C16" s="169"/>
      <c r="D16" s="180"/>
      <c r="E16" s="182"/>
      <c r="F16" s="263">
        <f>SUM(F6:F14)</f>
        <v>40564835.719999999</v>
      </c>
      <c r="G16" s="181"/>
    </row>
  </sheetData>
  <mergeCells count="1">
    <mergeCell ref="A2:G2"/>
  </mergeCells>
  <pageMargins left="0.25" right="0.25" top="0.75" bottom="0.75" header="0.3" footer="0.3"/>
  <pageSetup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view="pageBreakPreview" topLeftCell="A10" zoomScale="50" zoomScaleNormal="120" zoomScaleSheetLayoutView="50" workbookViewId="0">
      <selection activeCell="F13" sqref="F13"/>
    </sheetView>
  </sheetViews>
  <sheetFormatPr baseColWidth="10" defaultRowHeight="15.75"/>
  <cols>
    <col min="1" max="1" width="7.85546875" style="1" customWidth="1"/>
    <col min="2" max="2" width="20.140625" style="19" customWidth="1"/>
    <col min="3" max="3" width="26.85546875" style="10" customWidth="1"/>
    <col min="4" max="4" width="44.140625" style="4" customWidth="1"/>
    <col min="5" max="5" width="32.42578125" style="10" bestFit="1" customWidth="1"/>
    <col min="6" max="6" width="39.85546875" style="1" bestFit="1" customWidth="1"/>
    <col min="7" max="7" width="23.5703125" style="1" customWidth="1"/>
    <col min="8" max="16384" width="11.42578125" style="1"/>
  </cols>
  <sheetData>
    <row r="1" spans="1:7" ht="36.75">
      <c r="A1" s="543" t="s">
        <v>628</v>
      </c>
      <c r="B1" s="543"/>
      <c r="C1" s="543"/>
      <c r="D1" s="543"/>
      <c r="E1" s="543"/>
      <c r="F1" s="543"/>
      <c r="G1" s="543"/>
    </row>
    <row r="2" spans="1:7" ht="18.75">
      <c r="B2" s="114"/>
      <c r="C2" s="127"/>
      <c r="D2" s="124"/>
      <c r="E2" s="125"/>
      <c r="F2" s="117"/>
      <c r="G2" s="117"/>
    </row>
    <row r="3" spans="1:7" ht="18.75">
      <c r="B3" s="123"/>
      <c r="C3" s="125" t="s">
        <v>2</v>
      </c>
      <c r="D3" s="124"/>
      <c r="E3" s="125"/>
      <c r="F3" s="117"/>
      <c r="G3" s="117"/>
    </row>
    <row r="4" spans="1:7" s="353" customFormat="1" ht="73.5">
      <c r="A4" s="190" t="s">
        <v>0</v>
      </c>
      <c r="B4" s="416" t="s">
        <v>69</v>
      </c>
      <c r="C4" s="190" t="s">
        <v>3</v>
      </c>
      <c r="D4" s="190" t="s">
        <v>4</v>
      </c>
      <c r="E4" s="190" t="s">
        <v>21</v>
      </c>
      <c r="F4" s="190" t="s">
        <v>5</v>
      </c>
      <c r="G4" s="190" t="s">
        <v>1</v>
      </c>
    </row>
    <row r="5" spans="1:7" s="386" customFormat="1" ht="138">
      <c r="A5" s="347">
        <v>1</v>
      </c>
      <c r="B5" s="417" t="s">
        <v>165</v>
      </c>
      <c r="C5" s="242" t="s">
        <v>162</v>
      </c>
      <c r="D5" s="258" t="s">
        <v>163</v>
      </c>
      <c r="E5" s="243">
        <v>46163</v>
      </c>
      <c r="F5" s="344">
        <v>300000</v>
      </c>
      <c r="G5" s="244"/>
    </row>
    <row r="6" spans="1:7" s="386" customFormat="1" ht="138">
      <c r="A6" s="347">
        <v>3</v>
      </c>
      <c r="B6" s="417" t="s">
        <v>166</v>
      </c>
      <c r="C6" s="242" t="s">
        <v>164</v>
      </c>
      <c r="D6" s="258" t="s">
        <v>163</v>
      </c>
      <c r="E6" s="243">
        <v>46163</v>
      </c>
      <c r="F6" s="344">
        <v>300000</v>
      </c>
      <c r="G6" s="244"/>
    </row>
    <row r="7" spans="1:7" s="386" customFormat="1" ht="138">
      <c r="A7" s="347">
        <v>4</v>
      </c>
      <c r="B7" s="417" t="s">
        <v>167</v>
      </c>
      <c r="C7" s="242" t="s">
        <v>168</v>
      </c>
      <c r="D7" s="258" t="s">
        <v>163</v>
      </c>
      <c r="E7" s="243">
        <v>46163</v>
      </c>
      <c r="F7" s="344">
        <v>300000</v>
      </c>
      <c r="G7" s="244"/>
    </row>
    <row r="8" spans="1:7" s="386" customFormat="1" ht="138">
      <c r="A8" s="347">
        <v>5</v>
      </c>
      <c r="B8" s="417" t="s">
        <v>169</v>
      </c>
      <c r="C8" s="242" t="s">
        <v>170</v>
      </c>
      <c r="D8" s="258" t="s">
        <v>163</v>
      </c>
      <c r="E8" s="243">
        <v>46163</v>
      </c>
      <c r="F8" s="344">
        <v>300000</v>
      </c>
      <c r="G8" s="244"/>
    </row>
    <row r="9" spans="1:7" s="386" customFormat="1" ht="138">
      <c r="A9" s="347">
        <v>6</v>
      </c>
      <c r="B9" s="417" t="s">
        <v>171</v>
      </c>
      <c r="C9" s="242" t="s">
        <v>172</v>
      </c>
      <c r="D9" s="258" t="s">
        <v>163</v>
      </c>
      <c r="E9" s="243">
        <v>46190</v>
      </c>
      <c r="F9" s="344">
        <v>300000</v>
      </c>
      <c r="G9" s="244"/>
    </row>
    <row r="10" spans="1:7" s="386" customFormat="1" ht="207">
      <c r="A10" s="347">
        <v>7</v>
      </c>
      <c r="B10" s="417" t="s">
        <v>173</v>
      </c>
      <c r="C10" s="242" t="s">
        <v>174</v>
      </c>
      <c r="D10" s="258" t="s">
        <v>505</v>
      </c>
      <c r="E10" s="243">
        <v>46190</v>
      </c>
      <c r="F10" s="259">
        <v>304262.46000000002</v>
      </c>
      <c r="G10" s="244"/>
    </row>
    <row r="11" spans="1:7" s="386" customFormat="1" ht="207">
      <c r="A11" s="347">
        <v>8</v>
      </c>
      <c r="B11" s="417" t="s">
        <v>212</v>
      </c>
      <c r="C11" s="242" t="s">
        <v>506</v>
      </c>
      <c r="D11" s="258" t="s">
        <v>505</v>
      </c>
      <c r="E11" s="245">
        <v>46234</v>
      </c>
      <c r="F11" s="259">
        <v>304262.46000000002</v>
      </c>
      <c r="G11" s="244"/>
    </row>
    <row r="12" spans="1:7" s="386" customFormat="1" ht="34.5">
      <c r="A12" s="244"/>
      <c r="B12" s="417"/>
      <c r="C12" s="347"/>
      <c r="D12" s="258"/>
      <c r="E12" s="245"/>
      <c r="F12" s="348"/>
      <c r="G12" s="244"/>
    </row>
    <row r="13" spans="1:7" s="386" customFormat="1" ht="34.5">
      <c r="A13" s="244"/>
      <c r="B13" s="418"/>
      <c r="C13" s="242"/>
      <c r="D13" s="258"/>
      <c r="E13" s="245"/>
      <c r="F13" s="246">
        <f>SUM(F5:F12)</f>
        <v>2108524.92</v>
      </c>
      <c r="G13" s="244"/>
    </row>
    <row r="14" spans="1:7" s="386" customFormat="1" ht="34.5">
      <c r="A14" s="244"/>
      <c r="B14" s="418"/>
      <c r="C14" s="242"/>
      <c r="D14" s="258"/>
      <c r="E14" s="245"/>
      <c r="F14" s="348"/>
      <c r="G14" s="244"/>
    </row>
    <row r="15" spans="1:7" s="386" customFormat="1" ht="31.5">
      <c r="B15" s="419"/>
      <c r="C15" s="420"/>
      <c r="D15" s="421"/>
      <c r="E15" s="422"/>
      <c r="F15" s="423"/>
      <c r="G15" s="399"/>
    </row>
    <row r="16" spans="1:7" s="353" customFormat="1" ht="31.5">
      <c r="B16" s="424"/>
      <c r="C16" s="379"/>
      <c r="D16" s="378"/>
      <c r="E16" s="379"/>
    </row>
    <row r="17" spans="2:5" s="353" customFormat="1" ht="31.5">
      <c r="B17" s="424"/>
      <c r="C17" s="379"/>
      <c r="D17" s="378"/>
      <c r="E17" s="379"/>
    </row>
  </sheetData>
  <mergeCells count="1">
    <mergeCell ref="A1:G1"/>
  </mergeCells>
  <pageMargins left="0.51181102362204722" right="0.51181102362204722" top="0.55118110236220474" bottom="0.55118110236220474" header="0.31496062992125984" footer="0.31496062992125984"/>
  <pageSetup scale="4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view="pageBreakPreview" topLeftCell="A13" zoomScale="60" zoomScaleNormal="120" workbookViewId="0">
      <selection activeCell="D16" sqref="D16:D18"/>
    </sheetView>
  </sheetViews>
  <sheetFormatPr baseColWidth="10" defaultRowHeight="18"/>
  <cols>
    <col min="1" max="1" width="9.42578125" style="48" customWidth="1"/>
    <col min="2" max="2" width="24.7109375" style="104" bestFit="1" customWidth="1"/>
    <col min="3" max="3" width="43" style="47" customWidth="1"/>
    <col min="4" max="4" width="56.140625" style="46" customWidth="1"/>
    <col min="5" max="5" width="31.28515625" style="47" bestFit="1" customWidth="1"/>
    <col min="6" max="6" width="38" style="48" bestFit="1" customWidth="1"/>
    <col min="7" max="7" width="20.42578125" style="47" customWidth="1"/>
    <col min="8" max="8" width="28.85546875" style="47" customWidth="1"/>
    <col min="9" max="16384" width="11.42578125" style="48"/>
  </cols>
  <sheetData>
    <row r="1" spans="1:8" ht="39.75">
      <c r="A1" s="547" t="s">
        <v>619</v>
      </c>
      <c r="B1" s="547"/>
      <c r="C1" s="547"/>
      <c r="D1" s="547"/>
      <c r="E1" s="547"/>
      <c r="F1" s="547"/>
      <c r="G1" s="547"/>
      <c r="H1" s="547"/>
    </row>
    <row r="2" spans="1:8">
      <c r="B2" s="103"/>
      <c r="C2" s="102"/>
    </row>
    <row r="3" spans="1:8">
      <c r="C3" s="47" t="s">
        <v>2</v>
      </c>
    </row>
    <row r="4" spans="1:8" ht="67.5">
      <c r="A4" s="189" t="s">
        <v>0</v>
      </c>
      <c r="B4" s="189" t="s">
        <v>69</v>
      </c>
      <c r="C4" s="189" t="s">
        <v>587</v>
      </c>
      <c r="D4" s="189" t="s">
        <v>4</v>
      </c>
      <c r="E4" s="189" t="s">
        <v>21</v>
      </c>
      <c r="F4" s="189" t="s">
        <v>5</v>
      </c>
      <c r="G4" s="189" t="s">
        <v>1</v>
      </c>
      <c r="H4" s="189" t="s">
        <v>7</v>
      </c>
    </row>
    <row r="5" spans="1:8" s="108" customFormat="1" ht="114.75" customHeight="1">
      <c r="A5" s="199">
        <v>1</v>
      </c>
      <c r="B5" s="223" t="s">
        <v>175</v>
      </c>
      <c r="C5" s="225" t="s">
        <v>181</v>
      </c>
      <c r="D5" s="253" t="s">
        <v>176</v>
      </c>
      <c r="E5" s="200">
        <v>46030</v>
      </c>
      <c r="F5" s="204">
        <v>832300</v>
      </c>
      <c r="G5" s="199"/>
      <c r="H5" s="225"/>
    </row>
    <row r="6" spans="1:8" s="108" customFormat="1" ht="119.25" customHeight="1">
      <c r="A6" s="199">
        <v>2</v>
      </c>
      <c r="B6" s="223" t="s">
        <v>175</v>
      </c>
      <c r="C6" s="225" t="s">
        <v>180</v>
      </c>
      <c r="D6" s="253" t="s">
        <v>178</v>
      </c>
      <c r="E6" s="200">
        <v>46030</v>
      </c>
      <c r="F6" s="204">
        <v>3269750</v>
      </c>
      <c r="G6" s="199"/>
      <c r="H6" s="225"/>
    </row>
    <row r="7" spans="1:8" s="108" customFormat="1" ht="87" customHeight="1">
      <c r="A7" s="199">
        <v>3</v>
      </c>
      <c r="B7" s="223" t="s">
        <v>175</v>
      </c>
      <c r="C7" s="225" t="s">
        <v>182</v>
      </c>
      <c r="D7" s="253" t="s">
        <v>177</v>
      </c>
      <c r="E7" s="200">
        <v>46030</v>
      </c>
      <c r="F7" s="204">
        <v>2663360</v>
      </c>
      <c r="G7" s="199"/>
      <c r="H7" s="199"/>
    </row>
    <row r="8" spans="1:8" s="108" customFormat="1" ht="85.5" customHeight="1">
      <c r="A8" s="199">
        <v>4</v>
      </c>
      <c r="B8" s="223" t="s">
        <v>179</v>
      </c>
      <c r="C8" s="225" t="s">
        <v>183</v>
      </c>
      <c r="D8" s="253" t="s">
        <v>184</v>
      </c>
      <c r="E8" s="200">
        <v>46030</v>
      </c>
      <c r="F8" s="204">
        <v>166460</v>
      </c>
      <c r="G8" s="199"/>
      <c r="H8" s="199"/>
    </row>
    <row r="9" spans="1:8" s="108" customFormat="1" ht="94.5">
      <c r="A9" s="199">
        <v>5</v>
      </c>
      <c r="B9" s="223" t="s">
        <v>190</v>
      </c>
      <c r="C9" s="225" t="s">
        <v>185</v>
      </c>
      <c r="D9" s="253" t="s">
        <v>177</v>
      </c>
      <c r="E9" s="200">
        <v>46064</v>
      </c>
      <c r="F9" s="204">
        <v>7966330</v>
      </c>
      <c r="G9" s="199" t="s">
        <v>709</v>
      </c>
      <c r="H9" s="225" t="s">
        <v>715</v>
      </c>
    </row>
    <row r="10" spans="1:8" s="108" customFormat="1" ht="94.5">
      <c r="A10" s="199">
        <v>6</v>
      </c>
      <c r="B10" s="223" t="s">
        <v>191</v>
      </c>
      <c r="C10" s="225" t="s">
        <v>186</v>
      </c>
      <c r="D10" s="253" t="s">
        <v>177</v>
      </c>
      <c r="E10" s="200">
        <v>46076</v>
      </c>
      <c r="F10" s="204">
        <v>7371800</v>
      </c>
      <c r="G10" s="199" t="s">
        <v>709</v>
      </c>
      <c r="H10" s="225" t="s">
        <v>714</v>
      </c>
    </row>
    <row r="11" spans="1:8" s="108" customFormat="1" ht="85.5" customHeight="1">
      <c r="A11" s="199">
        <v>7</v>
      </c>
      <c r="B11" s="223" t="s">
        <v>189</v>
      </c>
      <c r="C11" s="225" t="s">
        <v>187</v>
      </c>
      <c r="D11" s="253" t="s">
        <v>188</v>
      </c>
      <c r="E11" s="200">
        <v>46105</v>
      </c>
      <c r="F11" s="204">
        <v>130000</v>
      </c>
      <c r="G11" s="199"/>
      <c r="H11" s="199"/>
    </row>
    <row r="12" spans="1:8" s="108" customFormat="1" ht="94.5">
      <c r="A12" s="199">
        <v>8</v>
      </c>
      <c r="B12" s="223"/>
      <c r="C12" s="312" t="s">
        <v>192</v>
      </c>
      <c r="D12" s="253" t="s">
        <v>177</v>
      </c>
      <c r="E12" s="203">
        <v>46129</v>
      </c>
      <c r="F12" s="204">
        <v>9452550</v>
      </c>
      <c r="G12" s="199" t="s">
        <v>709</v>
      </c>
      <c r="H12" s="225" t="s">
        <v>721</v>
      </c>
    </row>
    <row r="13" spans="1:8" s="108" customFormat="1" ht="80.25" customHeight="1">
      <c r="A13" s="199">
        <v>9</v>
      </c>
      <c r="B13" s="545" t="s">
        <v>544</v>
      </c>
      <c r="C13" s="225" t="s">
        <v>549</v>
      </c>
      <c r="D13" s="253" t="s">
        <v>177</v>
      </c>
      <c r="E13" s="203">
        <v>46244</v>
      </c>
      <c r="F13" s="205">
        <v>3715625</v>
      </c>
      <c r="G13" s="199"/>
      <c r="H13" s="199"/>
    </row>
    <row r="14" spans="1:8" s="108" customFormat="1" ht="63">
      <c r="A14" s="199">
        <v>10</v>
      </c>
      <c r="B14" s="546"/>
      <c r="C14" s="225" t="s">
        <v>768</v>
      </c>
      <c r="D14" s="253" t="s">
        <v>558</v>
      </c>
      <c r="E14" s="203">
        <v>46244</v>
      </c>
      <c r="F14" s="205">
        <v>588555</v>
      </c>
      <c r="G14" s="199"/>
      <c r="H14" s="199"/>
    </row>
    <row r="15" spans="1:8" s="108" customFormat="1" ht="78.75" customHeight="1">
      <c r="A15" s="199">
        <v>11</v>
      </c>
      <c r="B15" s="235">
        <v>46244</v>
      </c>
      <c r="C15" s="312" t="s">
        <v>192</v>
      </c>
      <c r="D15" s="253" t="s">
        <v>581</v>
      </c>
      <c r="E15" s="203">
        <v>46244</v>
      </c>
      <c r="F15" s="205">
        <v>832300</v>
      </c>
      <c r="G15" s="199"/>
      <c r="H15" s="199"/>
    </row>
    <row r="16" spans="1:8" s="108" customFormat="1" ht="31.5">
      <c r="A16" s="199"/>
      <c r="B16" s="235"/>
      <c r="C16" s="225"/>
      <c r="D16" s="253"/>
      <c r="E16" s="203"/>
      <c r="F16" s="205"/>
      <c r="G16" s="199"/>
      <c r="H16" s="199"/>
    </row>
    <row r="17" spans="1:8" s="108" customFormat="1" ht="31.5">
      <c r="A17" s="199"/>
      <c r="B17" s="234"/>
      <c r="C17" s="225"/>
      <c r="D17" s="253"/>
      <c r="E17" s="203"/>
      <c r="F17" s="205"/>
      <c r="G17" s="199"/>
      <c r="H17" s="199"/>
    </row>
    <row r="18" spans="1:8" s="108" customFormat="1" ht="31.5">
      <c r="A18" s="199"/>
      <c r="B18" s="234"/>
      <c r="C18" s="199"/>
      <c r="D18" s="253"/>
      <c r="E18" s="203"/>
      <c r="F18" s="241">
        <f>SUM(F5:F17)</f>
        <v>36989030</v>
      </c>
      <c r="G18" s="199"/>
      <c r="H18" s="199"/>
    </row>
    <row r="19" spans="1:8" s="108" customFormat="1" ht="31.5">
      <c r="A19" s="199"/>
      <c r="B19" s="264"/>
      <c r="C19" s="187"/>
      <c r="D19" s="186"/>
      <c r="E19" s="187"/>
      <c r="F19" s="185"/>
      <c r="G19" s="187"/>
      <c r="H19" s="187"/>
    </row>
    <row r="20" spans="1:8" ht="31.5">
      <c r="A20" s="185"/>
      <c r="B20" s="220"/>
      <c r="C20" s="187"/>
      <c r="D20" s="186"/>
      <c r="E20" s="187"/>
      <c r="F20" s="185"/>
      <c r="G20" s="187"/>
      <c r="H20" s="187"/>
    </row>
    <row r="21" spans="1:8" ht="31.5">
      <c r="A21" s="185"/>
      <c r="B21" s="220"/>
      <c r="C21" s="187"/>
      <c r="D21" s="186"/>
      <c r="E21" s="187"/>
      <c r="F21" s="185"/>
      <c r="G21" s="187"/>
      <c r="H21" s="187"/>
    </row>
    <row r="22" spans="1:8" ht="31.5">
      <c r="A22" s="185"/>
      <c r="B22" s="220"/>
      <c r="C22" s="187"/>
      <c r="D22" s="186"/>
      <c r="E22" s="187"/>
      <c r="F22" s="185"/>
      <c r="G22" s="187"/>
      <c r="H22" s="187"/>
    </row>
    <row r="23" spans="1:8" ht="31.5">
      <c r="A23" s="185"/>
      <c r="B23" s="220"/>
      <c r="C23" s="187"/>
      <c r="D23" s="186"/>
      <c r="E23" s="187"/>
      <c r="F23" s="185"/>
      <c r="G23" s="187"/>
      <c r="H23" s="187"/>
    </row>
    <row r="24" spans="1:8" ht="31.5">
      <c r="A24" s="185"/>
      <c r="B24" s="220"/>
      <c r="C24" s="187"/>
      <c r="D24" s="186"/>
      <c r="E24" s="187"/>
      <c r="F24" s="185"/>
      <c r="G24" s="187"/>
      <c r="H24" s="187"/>
    </row>
    <row r="25" spans="1:8" ht="31.5">
      <c r="A25" s="185"/>
      <c r="B25" s="220"/>
      <c r="C25" s="187"/>
      <c r="D25" s="186"/>
      <c r="E25" s="187"/>
      <c r="F25" s="185"/>
      <c r="G25" s="187"/>
      <c r="H25" s="187"/>
    </row>
  </sheetData>
  <mergeCells count="2">
    <mergeCell ref="B13:B14"/>
    <mergeCell ref="A1:H1"/>
  </mergeCells>
  <pageMargins left="0.25" right="0.25" top="0.75" bottom="0.75" header="0.3" footer="0.3"/>
  <pageSetup scale="3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8"/>
  <sheetViews>
    <sheetView view="pageBreakPreview" zoomScale="60" zoomScaleNormal="120" workbookViewId="0">
      <selection activeCell="M9" sqref="M9"/>
    </sheetView>
  </sheetViews>
  <sheetFormatPr baseColWidth="10" defaultRowHeight="15.75"/>
  <cols>
    <col min="1" max="1" width="8.28515625" style="1" customWidth="1"/>
    <col min="2" max="2" width="21.85546875" style="19" customWidth="1"/>
    <col min="3" max="3" width="23.42578125" style="10" customWidth="1"/>
    <col min="4" max="4" width="31.140625" style="4" customWidth="1"/>
    <col min="5" max="5" width="21.5703125" style="10" customWidth="1"/>
    <col min="6" max="6" width="42.7109375" style="1" customWidth="1"/>
    <col min="7" max="7" width="25" style="1" customWidth="1"/>
    <col min="8" max="8" width="29.5703125" style="1" customWidth="1"/>
    <col min="9" max="16384" width="11.42578125" style="1"/>
  </cols>
  <sheetData>
    <row r="2" spans="1:9" s="382" customFormat="1" ht="43.5">
      <c r="A2" s="541" t="s">
        <v>629</v>
      </c>
      <c r="B2" s="541"/>
      <c r="C2" s="541"/>
      <c r="D2" s="541"/>
      <c r="E2" s="541"/>
      <c r="F2" s="541"/>
      <c r="G2" s="541"/>
      <c r="H2" s="541"/>
    </row>
    <row r="3" spans="1:9" s="117" customFormat="1" ht="18.75">
      <c r="B3" s="114"/>
      <c r="C3" s="127"/>
      <c r="D3" s="124"/>
      <c r="E3" s="125"/>
    </row>
    <row r="4" spans="1:9" s="117" customFormat="1" ht="18.75">
      <c r="B4" s="123"/>
      <c r="C4" s="125"/>
      <c r="D4" s="124"/>
      <c r="E4" s="125"/>
    </row>
    <row r="5" spans="1:9" s="117" customFormat="1" ht="18.75">
      <c r="B5" s="123"/>
      <c r="C5" s="125" t="s">
        <v>2</v>
      </c>
      <c r="D5" s="124"/>
      <c r="E5" s="125"/>
    </row>
    <row r="6" spans="1:9" s="117" customFormat="1" ht="67.5">
      <c r="A6" s="222" t="s">
        <v>0</v>
      </c>
      <c r="B6" s="189" t="s">
        <v>69</v>
      </c>
      <c r="C6" s="189" t="s">
        <v>587</v>
      </c>
      <c r="D6" s="189" t="s">
        <v>4</v>
      </c>
      <c r="E6" s="189" t="s">
        <v>21</v>
      </c>
      <c r="F6" s="189" t="s">
        <v>5</v>
      </c>
      <c r="G6" s="189" t="s">
        <v>1</v>
      </c>
      <c r="H6" s="189" t="s">
        <v>7</v>
      </c>
    </row>
    <row r="7" spans="1:9" s="23" customFormat="1" ht="33.75" customHeight="1">
      <c r="A7" s="199">
        <v>1</v>
      </c>
      <c r="B7" s="223"/>
      <c r="C7" s="225" t="s">
        <v>283</v>
      </c>
      <c r="D7" s="253"/>
      <c r="E7" s="200"/>
      <c r="F7" s="415">
        <v>1673588.84</v>
      </c>
      <c r="G7" s="202"/>
      <c r="H7" s="274"/>
      <c r="I7" s="384"/>
    </row>
    <row r="8" spans="1:9" s="23" customFormat="1" ht="31.5">
      <c r="A8" s="202"/>
      <c r="B8" s="223"/>
      <c r="C8" s="225"/>
      <c r="D8" s="253"/>
      <c r="E8" s="200"/>
      <c r="F8" s="204"/>
      <c r="G8" s="202"/>
      <c r="H8" s="274"/>
      <c r="I8" s="384"/>
    </row>
    <row r="9" spans="1:9" s="23" customFormat="1" ht="31.5">
      <c r="A9" s="202"/>
      <c r="B9" s="223"/>
      <c r="C9" s="225"/>
      <c r="D9" s="253"/>
      <c r="E9" s="200"/>
      <c r="F9" s="204"/>
      <c r="G9" s="202"/>
      <c r="H9" s="202"/>
      <c r="I9" s="384"/>
    </row>
    <row r="10" spans="1:9" s="23" customFormat="1" ht="31.5">
      <c r="A10" s="202"/>
      <c r="B10" s="223"/>
      <c r="C10" s="225"/>
      <c r="D10" s="253"/>
      <c r="E10" s="200"/>
      <c r="F10" s="204"/>
      <c r="G10" s="202"/>
      <c r="H10" s="202"/>
      <c r="I10" s="384"/>
    </row>
    <row r="11" spans="1:9" s="23" customFormat="1" ht="31.5">
      <c r="A11" s="202"/>
      <c r="B11" s="223"/>
      <c r="C11" s="225"/>
      <c r="D11" s="253"/>
      <c r="E11" s="200"/>
      <c r="F11" s="425">
        <v>1673588.84</v>
      </c>
      <c r="G11" s="202"/>
      <c r="H11" s="202"/>
      <c r="I11" s="384"/>
    </row>
    <row r="12" spans="1:9" s="23" customFormat="1" ht="31.5">
      <c r="A12" s="202"/>
      <c r="B12" s="223"/>
      <c r="C12" s="225"/>
      <c r="D12" s="253"/>
      <c r="E12" s="200"/>
      <c r="F12" s="204"/>
      <c r="G12" s="202"/>
      <c r="H12" s="202"/>
      <c r="I12" s="384"/>
    </row>
    <row r="13" spans="1:9" s="23" customFormat="1" ht="31.5">
      <c r="A13" s="202"/>
      <c r="B13" s="223"/>
      <c r="C13" s="225"/>
      <c r="D13" s="253"/>
      <c r="E13" s="200"/>
      <c r="F13" s="204"/>
      <c r="G13" s="202"/>
      <c r="H13" s="202"/>
      <c r="I13" s="384"/>
    </row>
    <row r="14" spans="1:9" s="23" customFormat="1" ht="28.5">
      <c r="A14" s="384"/>
      <c r="B14" s="384"/>
      <c r="C14" s="384"/>
      <c r="D14" s="384"/>
      <c r="E14" s="384"/>
      <c r="F14" s="384"/>
      <c r="G14" s="384"/>
      <c r="H14" s="384"/>
      <c r="I14" s="384"/>
    </row>
    <row r="15" spans="1:9" s="23" customFormat="1" ht="28.5">
      <c r="A15" s="384"/>
      <c r="B15" s="384"/>
      <c r="C15" s="384"/>
      <c r="D15" s="384"/>
      <c r="E15" s="384"/>
      <c r="F15" s="384"/>
      <c r="G15" s="384"/>
      <c r="H15" s="384"/>
      <c r="I15" s="384"/>
    </row>
    <row r="16" spans="1:9" s="23" customFormat="1"/>
    <row r="17" spans="2:5" s="23" customFormat="1"/>
    <row r="18" spans="2:5" s="23" customFormat="1"/>
    <row r="19" spans="2:5" s="23" customFormat="1"/>
    <row r="20" spans="2:5" s="23" customFormat="1"/>
    <row r="21" spans="2:5" s="23" customFormat="1"/>
    <row r="22" spans="2:5" s="23" customFormat="1"/>
    <row r="23" spans="2:5">
      <c r="B23" s="1"/>
      <c r="C23" s="1"/>
      <c r="D23" s="1"/>
      <c r="E23" s="1"/>
    </row>
    <row r="24" spans="2:5">
      <c r="B24" s="1"/>
      <c r="C24" s="1"/>
      <c r="D24" s="1"/>
      <c r="E24" s="1"/>
    </row>
    <row r="25" spans="2:5">
      <c r="B25" s="1"/>
      <c r="C25" s="1"/>
      <c r="D25" s="1"/>
      <c r="E25" s="1"/>
    </row>
    <row r="26" spans="2:5">
      <c r="B26" s="1"/>
      <c r="C26" s="1"/>
      <c r="D26" s="1"/>
      <c r="E26" s="1"/>
    </row>
    <row r="27" spans="2:5">
      <c r="B27" s="1"/>
      <c r="C27" s="1"/>
      <c r="D27" s="1"/>
      <c r="E27" s="1"/>
    </row>
    <row r="28" spans="2:5">
      <c r="B28" s="1"/>
      <c r="C28" s="1"/>
      <c r="D28" s="1"/>
      <c r="E28" s="1"/>
    </row>
    <row r="29" spans="2:5">
      <c r="B29" s="1"/>
      <c r="C29" s="1"/>
      <c r="D29" s="1"/>
      <c r="E29" s="1"/>
    </row>
    <row r="30" spans="2:5">
      <c r="B30" s="1"/>
      <c r="C30" s="1"/>
      <c r="D30" s="1"/>
      <c r="E30" s="1"/>
    </row>
    <row r="31" spans="2:5">
      <c r="B31" s="1"/>
      <c r="C31" s="1"/>
      <c r="D31" s="1"/>
      <c r="E31" s="1"/>
    </row>
    <row r="32" spans="2:5">
      <c r="B32" s="1"/>
      <c r="C32" s="1"/>
      <c r="D32" s="1"/>
      <c r="E32" s="1"/>
    </row>
    <row r="33" spans="2:5">
      <c r="B33" s="1"/>
      <c r="C33" s="1"/>
      <c r="D33" s="1"/>
      <c r="E33" s="1"/>
    </row>
    <row r="34" spans="2:5">
      <c r="B34" s="1"/>
      <c r="C34" s="1"/>
      <c r="D34" s="1"/>
      <c r="E34" s="1"/>
    </row>
    <row r="35" spans="2:5">
      <c r="B35" s="1"/>
      <c r="C35" s="1"/>
      <c r="D35" s="1"/>
      <c r="E35" s="1"/>
    </row>
    <row r="36" spans="2:5">
      <c r="B36" s="1"/>
      <c r="C36" s="1"/>
      <c r="D36" s="1"/>
      <c r="E36" s="1"/>
    </row>
    <row r="37" spans="2:5">
      <c r="B37" s="1"/>
      <c r="C37" s="1"/>
      <c r="D37" s="1"/>
      <c r="E37" s="1"/>
    </row>
    <row r="38" spans="2:5">
      <c r="B38" s="1"/>
      <c r="C38" s="1"/>
      <c r="D38" s="1"/>
      <c r="E38" s="1"/>
    </row>
    <row r="39" spans="2:5">
      <c r="B39" s="1"/>
      <c r="C39" s="1"/>
      <c r="D39" s="1"/>
      <c r="E39" s="1"/>
    </row>
    <row r="40" spans="2:5">
      <c r="B40" s="1"/>
      <c r="C40" s="1"/>
      <c r="D40" s="1"/>
      <c r="E40" s="1"/>
    </row>
    <row r="41" spans="2:5">
      <c r="B41" s="1"/>
      <c r="C41" s="1"/>
      <c r="D41" s="1"/>
      <c r="E41" s="1"/>
    </row>
    <row r="42" spans="2:5">
      <c r="B42" s="1"/>
      <c r="C42" s="1"/>
      <c r="D42" s="1"/>
      <c r="E42" s="1"/>
    </row>
    <row r="43" spans="2:5">
      <c r="B43" s="1"/>
      <c r="C43" s="1"/>
      <c r="D43" s="1"/>
      <c r="E43" s="1"/>
    </row>
    <row r="44" spans="2:5">
      <c r="B44" s="1"/>
      <c r="C44" s="1"/>
      <c r="D44" s="1"/>
      <c r="E44" s="1"/>
    </row>
    <row r="45" spans="2:5">
      <c r="B45" s="1"/>
      <c r="C45" s="1"/>
      <c r="D45" s="1"/>
      <c r="E45" s="1"/>
    </row>
    <row r="46" spans="2:5">
      <c r="B46" s="1"/>
      <c r="C46" s="1"/>
      <c r="D46" s="1"/>
      <c r="E46" s="1"/>
    </row>
    <row r="47" spans="2:5">
      <c r="B47" s="1"/>
      <c r="C47" s="1"/>
      <c r="D47" s="1"/>
      <c r="E47" s="1"/>
    </row>
    <row r="48" spans="2:5">
      <c r="B48" s="1"/>
      <c r="C48" s="1"/>
      <c r="D48" s="1"/>
      <c r="E48" s="1"/>
    </row>
  </sheetData>
  <mergeCells count="1">
    <mergeCell ref="A2:H2"/>
  </mergeCells>
  <pageMargins left="0.51181102362204722" right="0.51181102362204722" top="0.55118110236220474" bottom="0.55118110236220474" header="0.31496062992125984" footer="0.31496062992125984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view="pageBreakPreview" zoomScale="60" zoomScaleNormal="120" workbookViewId="0">
      <selection activeCell="I5" sqref="I5"/>
    </sheetView>
  </sheetViews>
  <sheetFormatPr baseColWidth="10" defaultRowHeight="15.75"/>
  <cols>
    <col min="1" max="1" width="8.28515625" style="1" customWidth="1"/>
    <col min="2" max="2" width="28.42578125" style="19" customWidth="1"/>
    <col min="3" max="3" width="48.28515625" style="10" customWidth="1"/>
    <col min="4" max="4" width="35.42578125" style="4" customWidth="1"/>
    <col min="5" max="5" width="32" style="10" customWidth="1"/>
    <col min="6" max="6" width="36.7109375" style="1" customWidth="1"/>
    <col min="7" max="7" width="28.140625" style="1" customWidth="1"/>
    <col min="8" max="16384" width="11.42578125" style="1"/>
  </cols>
  <sheetData>
    <row r="1" spans="1:7" s="414" customFormat="1" ht="46.5">
      <c r="A1" s="540" t="s">
        <v>687</v>
      </c>
      <c r="B1" s="540"/>
      <c r="C1" s="540"/>
      <c r="D1" s="540"/>
      <c r="E1" s="540"/>
      <c r="F1" s="540"/>
      <c r="G1" s="540"/>
    </row>
    <row r="2" spans="1:7" s="117" customFormat="1" ht="18.75">
      <c r="B2" s="114"/>
      <c r="C2" s="127"/>
      <c r="D2" s="124"/>
      <c r="E2" s="125"/>
    </row>
    <row r="3" spans="1:7" s="117" customFormat="1" ht="18.75">
      <c r="B3" s="123"/>
      <c r="C3" s="125" t="s">
        <v>2</v>
      </c>
      <c r="D3" s="124"/>
      <c r="E3" s="125"/>
    </row>
    <row r="4" spans="1:7" s="117" customFormat="1" ht="73.5">
      <c r="A4" s="193" t="s">
        <v>0</v>
      </c>
      <c r="B4" s="190" t="s">
        <v>69</v>
      </c>
      <c r="C4" s="190" t="s">
        <v>587</v>
      </c>
      <c r="D4" s="190" t="s">
        <v>4</v>
      </c>
      <c r="E4" s="190" t="s">
        <v>21</v>
      </c>
      <c r="F4" s="190" t="s">
        <v>5</v>
      </c>
      <c r="G4" s="190" t="s">
        <v>1</v>
      </c>
    </row>
    <row r="5" spans="1:7" s="23" customFormat="1" ht="69">
      <c r="A5" s="347">
        <v>1</v>
      </c>
      <c r="B5" s="343" t="s">
        <v>193</v>
      </c>
      <c r="C5" s="242" t="s">
        <v>194</v>
      </c>
      <c r="D5" s="258" t="s">
        <v>195</v>
      </c>
      <c r="E5" s="243">
        <v>46052</v>
      </c>
      <c r="F5" s="344">
        <v>500000</v>
      </c>
      <c r="G5" s="399"/>
    </row>
    <row r="6" spans="1:7" s="23" customFormat="1" ht="103.5">
      <c r="A6" s="347">
        <v>2</v>
      </c>
      <c r="B6" s="343" t="s">
        <v>630</v>
      </c>
      <c r="C6" s="242" t="s">
        <v>196</v>
      </c>
      <c r="D6" s="258" t="s">
        <v>195</v>
      </c>
      <c r="E6" s="243">
        <v>46052</v>
      </c>
      <c r="F6" s="344">
        <v>500000</v>
      </c>
      <c r="G6" s="399"/>
    </row>
    <row r="7" spans="1:7" s="23" customFormat="1" ht="39" customHeight="1">
      <c r="A7" s="399"/>
      <c r="B7" s="426"/>
      <c r="C7" s="420"/>
      <c r="D7" s="421"/>
      <c r="E7" s="427"/>
      <c r="F7" s="428"/>
      <c r="G7" s="399"/>
    </row>
    <row r="8" spans="1:7" s="23" customFormat="1" ht="39.75" customHeight="1">
      <c r="A8" s="399"/>
      <c r="B8" s="426"/>
      <c r="C8" s="420"/>
      <c r="D8" s="421"/>
      <c r="E8" s="427"/>
      <c r="F8" s="232">
        <f>SUM(F5:F7)</f>
        <v>1000000</v>
      </c>
      <c r="G8" s="399"/>
    </row>
    <row r="9" spans="1:7" s="23" customFormat="1" ht="53.25" customHeight="1">
      <c r="A9" s="26"/>
      <c r="B9" s="36"/>
      <c r="C9" s="20"/>
      <c r="D9" s="31"/>
      <c r="E9" s="21"/>
      <c r="F9" s="22"/>
      <c r="G9" s="26"/>
    </row>
  </sheetData>
  <mergeCells count="1">
    <mergeCell ref="A1:G1"/>
  </mergeCells>
  <pageMargins left="0.51181102362204722" right="0.51181102362204722" top="0.55118110236220474" bottom="0.55118110236220474" header="0.31496062992125984" footer="0.31496062992125984"/>
  <pageSetup scale="4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view="pageBreakPreview" zoomScale="60" zoomScaleNormal="120" workbookViewId="0">
      <selection activeCell="E4" sqref="E4"/>
    </sheetView>
  </sheetViews>
  <sheetFormatPr baseColWidth="10" defaultRowHeight="15.75"/>
  <cols>
    <col min="1" max="1" width="6.85546875" style="10" customWidth="1"/>
    <col min="2" max="2" width="24" style="19" customWidth="1"/>
    <col min="3" max="3" width="23.28515625" style="10" customWidth="1"/>
    <col min="4" max="4" width="31.140625" style="4" customWidth="1"/>
    <col min="5" max="5" width="31.28515625" style="10" bestFit="1" customWidth="1"/>
    <col min="6" max="6" width="31.28515625" style="1" bestFit="1" customWidth="1"/>
    <col min="7" max="7" width="22.85546875" style="1" customWidth="1"/>
    <col min="8" max="8" width="29.5703125" style="1" customWidth="1"/>
    <col min="9" max="16384" width="11.42578125" style="1"/>
  </cols>
  <sheetData>
    <row r="1" spans="1:8" ht="36.75">
      <c r="A1" s="543" t="s">
        <v>631</v>
      </c>
      <c r="B1" s="543"/>
      <c r="C1" s="543"/>
      <c r="D1" s="543"/>
      <c r="E1" s="543"/>
      <c r="F1" s="543"/>
      <c r="G1" s="543"/>
      <c r="H1" s="543"/>
    </row>
    <row r="2" spans="1:8">
      <c r="B2" s="18"/>
      <c r="C2" s="14"/>
    </row>
    <row r="3" spans="1:8">
      <c r="C3" s="10" t="s">
        <v>2</v>
      </c>
    </row>
    <row r="4" spans="1:8" s="329" customFormat="1" ht="67.5">
      <c r="A4" s="189" t="s">
        <v>0</v>
      </c>
      <c r="B4" s="189" t="s">
        <v>69</v>
      </c>
      <c r="C4" s="189" t="s">
        <v>587</v>
      </c>
      <c r="D4" s="189" t="s">
        <v>4</v>
      </c>
      <c r="E4" s="189" t="s">
        <v>21</v>
      </c>
      <c r="F4" s="189" t="s">
        <v>5</v>
      </c>
      <c r="G4" s="189" t="s">
        <v>1</v>
      </c>
      <c r="H4" s="189" t="s">
        <v>7</v>
      </c>
    </row>
    <row r="5" spans="1:8" s="23" customFormat="1" ht="252">
      <c r="A5" s="317"/>
      <c r="B5" s="223" t="s">
        <v>197</v>
      </c>
      <c r="C5" s="225" t="s">
        <v>198</v>
      </c>
      <c r="D5" s="253" t="s">
        <v>199</v>
      </c>
      <c r="E5" s="200">
        <v>46125</v>
      </c>
      <c r="F5" s="204">
        <v>95000</v>
      </c>
      <c r="G5" s="202"/>
      <c r="H5" s="274"/>
    </row>
    <row r="6" spans="1:8" s="23" customFormat="1" ht="31.5">
      <c r="A6" s="317"/>
      <c r="B6" s="223"/>
      <c r="C6" s="225"/>
      <c r="D6" s="253"/>
      <c r="E6" s="200"/>
      <c r="F6" s="204"/>
      <c r="G6" s="202"/>
      <c r="H6" s="274"/>
    </row>
    <row r="7" spans="1:8" ht="34.5">
      <c r="A7" s="355"/>
      <c r="B7" s="354"/>
      <c r="C7" s="355"/>
      <c r="D7" s="356"/>
      <c r="E7" s="355"/>
      <c r="F7" s="376">
        <f>SUM(F5:F6)</f>
        <v>95000</v>
      </c>
      <c r="G7" s="329"/>
      <c r="H7" s="329"/>
    </row>
    <row r="8" spans="1:8" ht="28.5">
      <c r="A8" s="355"/>
      <c r="B8" s="354"/>
      <c r="C8" s="355"/>
      <c r="D8" s="356"/>
      <c r="E8" s="355"/>
      <c r="F8" s="329"/>
      <c r="G8" s="329"/>
      <c r="H8" s="329"/>
    </row>
  </sheetData>
  <mergeCells count="1">
    <mergeCell ref="A1:H1"/>
  </mergeCells>
  <pageMargins left="0.25" right="0.25" top="0.75" bottom="0.75" header="0.3" footer="0.3"/>
  <pageSetup scale="4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view="pageBreakPreview" zoomScale="50" zoomScaleNormal="120" zoomScaleSheetLayoutView="50" workbookViewId="0">
      <selection activeCell="J5" sqref="J5"/>
    </sheetView>
  </sheetViews>
  <sheetFormatPr baseColWidth="10" defaultColWidth="28.5703125" defaultRowHeight="27"/>
  <cols>
    <col min="1" max="1" width="11.7109375" style="69" customWidth="1"/>
    <col min="2" max="2" width="27.7109375" style="66" customWidth="1"/>
    <col min="3" max="3" width="25.7109375" style="67" customWidth="1"/>
    <col min="4" max="4" width="56.85546875" style="68" customWidth="1"/>
    <col min="5" max="5" width="29.7109375" style="67" customWidth="1"/>
    <col min="6" max="6" width="33" style="69" customWidth="1"/>
    <col min="7" max="7" width="28.42578125" style="67" customWidth="1"/>
    <col min="8" max="8" width="31.7109375" style="69" customWidth="1"/>
    <col min="9" max="16384" width="28.5703125" style="69"/>
  </cols>
  <sheetData>
    <row r="1" spans="1:8" s="150" customFormat="1" ht="39.75">
      <c r="A1" s="547" t="s">
        <v>632</v>
      </c>
      <c r="B1" s="547"/>
      <c r="C1" s="547"/>
      <c r="D1" s="547"/>
      <c r="E1" s="547"/>
      <c r="F1" s="547"/>
      <c r="G1" s="547"/>
      <c r="H1" s="547"/>
    </row>
    <row r="2" spans="1:8" s="150" customFormat="1" ht="28.5">
      <c r="B2" s="90"/>
      <c r="C2" s="91"/>
      <c r="D2" s="92"/>
      <c r="E2" s="96"/>
      <c r="G2" s="96"/>
    </row>
    <row r="3" spans="1:8" s="150" customFormat="1" ht="28.5">
      <c r="B3" s="95"/>
      <c r="C3" s="96"/>
      <c r="D3" s="92"/>
      <c r="E3" s="96"/>
      <c r="G3" s="96"/>
    </row>
    <row r="4" spans="1:8" s="150" customFormat="1" ht="73.5">
      <c r="A4" s="193" t="s">
        <v>0</v>
      </c>
      <c r="B4" s="416" t="s">
        <v>69</v>
      </c>
      <c r="C4" s="190" t="s">
        <v>587</v>
      </c>
      <c r="D4" s="190" t="s">
        <v>4</v>
      </c>
      <c r="E4" s="190" t="s">
        <v>21</v>
      </c>
      <c r="F4" s="190" t="s">
        <v>5</v>
      </c>
      <c r="G4" s="190" t="s">
        <v>1</v>
      </c>
      <c r="H4" s="190" t="s">
        <v>7</v>
      </c>
    </row>
    <row r="5" spans="1:8" ht="133.5" customHeight="1">
      <c r="A5" s="294">
        <v>1</v>
      </c>
      <c r="B5" s="429">
        <v>46074</v>
      </c>
      <c r="C5" s="225" t="s">
        <v>563</v>
      </c>
      <c r="D5" s="253" t="s">
        <v>564</v>
      </c>
      <c r="E5" s="235">
        <v>46055</v>
      </c>
      <c r="F5" s="171">
        <v>95000</v>
      </c>
      <c r="G5" s="202"/>
      <c r="H5" s="274"/>
    </row>
    <row r="6" spans="1:8" ht="97.5" customHeight="1">
      <c r="A6" s="294">
        <v>2</v>
      </c>
      <c r="B6" s="295" t="s">
        <v>203</v>
      </c>
      <c r="C6" s="225" t="s">
        <v>204</v>
      </c>
      <c r="D6" s="253" t="s">
        <v>202</v>
      </c>
      <c r="E6" s="200">
        <v>46108</v>
      </c>
      <c r="F6" s="204">
        <v>300000</v>
      </c>
      <c r="G6" s="202"/>
      <c r="H6" s="274"/>
    </row>
    <row r="7" spans="1:8" s="65" customFormat="1" ht="98.25" customHeight="1">
      <c r="A7" s="199">
        <v>3</v>
      </c>
      <c r="B7" s="295" t="s">
        <v>200</v>
      </c>
      <c r="C7" s="225" t="s">
        <v>201</v>
      </c>
      <c r="D7" s="253" t="s">
        <v>202</v>
      </c>
      <c r="E7" s="200">
        <v>46210</v>
      </c>
      <c r="F7" s="204">
        <v>345000</v>
      </c>
      <c r="G7" s="317"/>
      <c r="H7" s="233"/>
    </row>
    <row r="8" spans="1:8" s="65" customFormat="1" ht="42" customHeight="1">
      <c r="A8" s="236"/>
      <c r="B8" s="233"/>
      <c r="C8" s="225"/>
      <c r="D8" s="253"/>
      <c r="E8" s="200"/>
      <c r="F8" s="204"/>
      <c r="G8" s="317"/>
      <c r="H8" s="233"/>
    </row>
    <row r="9" spans="1:8" s="65" customFormat="1" ht="36.75" customHeight="1">
      <c r="A9" s="236"/>
      <c r="B9" s="295"/>
      <c r="C9" s="225"/>
      <c r="D9" s="253"/>
      <c r="E9" s="200"/>
      <c r="F9" s="204"/>
      <c r="G9" s="317"/>
      <c r="H9" s="233"/>
    </row>
    <row r="10" spans="1:8" s="65" customFormat="1" ht="48" customHeight="1">
      <c r="A10" s="236"/>
      <c r="B10" s="295"/>
      <c r="C10" s="225"/>
      <c r="D10" s="253"/>
      <c r="E10" s="200"/>
      <c r="F10" s="430">
        <f>SUM(F5:F9)</f>
        <v>740000</v>
      </c>
      <c r="G10" s="317"/>
      <c r="H10" s="233"/>
    </row>
    <row r="11" spans="1:8" s="65" customFormat="1" ht="48" customHeight="1">
      <c r="A11" s="236"/>
      <c r="B11" s="295"/>
      <c r="C11" s="225"/>
      <c r="D11" s="253"/>
      <c r="E11" s="200"/>
      <c r="F11" s="204"/>
      <c r="G11" s="351"/>
      <c r="H11" s="233"/>
    </row>
  </sheetData>
  <mergeCells count="1">
    <mergeCell ref="A1:H1"/>
  </mergeCells>
  <pageMargins left="0.51181102362204722" right="0.51181102362204722" top="0.55118110236220474" bottom="0.55118110236220474" header="0.31496062992125984" footer="0.31496062992125984"/>
  <pageSetup scale="38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BreakPreview" zoomScale="70" zoomScaleNormal="120" zoomScaleSheetLayoutView="70" workbookViewId="0">
      <selection activeCell="J5" sqref="J5"/>
    </sheetView>
  </sheetViews>
  <sheetFormatPr baseColWidth="10" defaultRowHeight="15.75"/>
  <cols>
    <col min="1" max="1" width="6.85546875" style="10" bestFit="1" customWidth="1"/>
    <col min="2" max="2" width="21.5703125" style="19" customWidth="1"/>
    <col min="3" max="3" width="22" style="10" customWidth="1"/>
    <col min="4" max="4" width="33.140625" style="4" customWidth="1"/>
    <col min="5" max="5" width="25.42578125" style="10" bestFit="1" customWidth="1"/>
    <col min="6" max="6" width="31.42578125" style="1" bestFit="1" customWidth="1"/>
    <col min="7" max="7" width="20.7109375" style="1" bestFit="1" customWidth="1"/>
    <col min="8" max="8" width="28.5703125" style="1" customWidth="1"/>
    <col min="9" max="16384" width="11.42578125" style="1"/>
  </cols>
  <sheetData>
    <row r="1" spans="1:8" s="117" customFormat="1" ht="36.75">
      <c r="A1" s="543" t="s">
        <v>633</v>
      </c>
      <c r="B1" s="543"/>
      <c r="C1" s="543"/>
      <c r="D1" s="543"/>
      <c r="E1" s="543"/>
      <c r="F1" s="543"/>
      <c r="G1" s="543"/>
      <c r="H1" s="543"/>
    </row>
    <row r="2" spans="1:8" s="117" customFormat="1" ht="17.25" customHeight="1">
      <c r="A2" s="125"/>
      <c r="B2" s="114"/>
      <c r="C2" s="127"/>
      <c r="D2" s="124"/>
      <c r="E2" s="125"/>
    </row>
    <row r="3" spans="1:8" s="117" customFormat="1" ht="18.75">
      <c r="A3" s="125"/>
      <c r="B3" s="123"/>
      <c r="C3" s="125" t="s">
        <v>2</v>
      </c>
      <c r="D3" s="124"/>
      <c r="E3" s="125"/>
    </row>
    <row r="4" spans="1:8" s="117" customFormat="1" ht="67.5">
      <c r="A4" s="189" t="s">
        <v>0</v>
      </c>
      <c r="B4" s="189" t="s">
        <v>69</v>
      </c>
      <c r="C4" s="189" t="s">
        <v>587</v>
      </c>
      <c r="D4" s="189" t="s">
        <v>4</v>
      </c>
      <c r="E4" s="189" t="s">
        <v>21</v>
      </c>
      <c r="F4" s="189" t="s">
        <v>5</v>
      </c>
      <c r="G4" s="189" t="s">
        <v>1</v>
      </c>
      <c r="H4" s="189" t="s">
        <v>7</v>
      </c>
    </row>
    <row r="5" spans="1:8" ht="94.5">
      <c r="A5" s="273">
        <v>1</v>
      </c>
      <c r="B5" s="223" t="s">
        <v>205</v>
      </c>
      <c r="C5" s="225" t="s">
        <v>206</v>
      </c>
      <c r="D5" s="253" t="s">
        <v>207</v>
      </c>
      <c r="E5" s="200">
        <v>46057</v>
      </c>
      <c r="F5" s="204">
        <v>500000</v>
      </c>
      <c r="G5" s="273"/>
      <c r="H5" s="273"/>
    </row>
    <row r="6" spans="1:8" s="23" customFormat="1" ht="37.5" customHeight="1">
      <c r="A6" s="57"/>
      <c r="B6" s="149"/>
      <c r="C6" s="53"/>
      <c r="D6" s="147"/>
      <c r="E6" s="56"/>
      <c r="F6" s="55"/>
      <c r="G6" s="121"/>
      <c r="H6" s="148"/>
    </row>
    <row r="7" spans="1:8" s="23" customFormat="1" ht="31.5" customHeight="1">
      <c r="A7" s="57"/>
      <c r="B7" s="58"/>
      <c r="C7" s="53"/>
      <c r="D7" s="147"/>
      <c r="E7" s="56"/>
      <c r="F7" s="55"/>
      <c r="G7" s="121"/>
      <c r="H7" s="148"/>
    </row>
    <row r="8" spans="1:8" s="23" customFormat="1" ht="31.5" customHeight="1">
      <c r="A8" s="57"/>
      <c r="B8" s="149"/>
      <c r="C8" s="53"/>
      <c r="D8" s="147"/>
      <c r="E8" s="56"/>
      <c r="F8" s="226">
        <f>SUM(F5:F7)</f>
        <v>500000</v>
      </c>
      <c r="G8" s="121"/>
      <c r="H8" s="121"/>
    </row>
    <row r="9" spans="1:8" s="23" customFormat="1" ht="31.5" customHeight="1">
      <c r="A9" s="57"/>
      <c r="B9" s="149"/>
      <c r="C9" s="53"/>
      <c r="D9" s="147"/>
      <c r="E9" s="56"/>
      <c r="F9" s="55"/>
      <c r="G9" s="121"/>
      <c r="H9" s="121"/>
    </row>
  </sheetData>
  <mergeCells count="1">
    <mergeCell ref="A1:H1"/>
  </mergeCells>
  <pageMargins left="0.25" right="0.25" top="0.75" bottom="0.75" header="0.3" footer="0.3"/>
  <pageSetup scale="5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view="pageBreakPreview" topLeftCell="A4" zoomScale="70" zoomScaleNormal="120" zoomScaleSheetLayoutView="70" workbookViewId="0">
      <selection activeCell="E17" sqref="E17"/>
    </sheetView>
  </sheetViews>
  <sheetFormatPr baseColWidth="10" defaultRowHeight="15.75"/>
  <cols>
    <col min="1" max="1" width="7.7109375" style="10" customWidth="1"/>
    <col min="2" max="2" width="24.7109375" style="19" customWidth="1"/>
    <col min="3" max="3" width="27.85546875" style="10" customWidth="1"/>
    <col min="4" max="4" width="33.7109375" style="4" customWidth="1"/>
    <col min="5" max="5" width="25.7109375" style="10" bestFit="1" customWidth="1"/>
    <col min="6" max="6" width="35.42578125" style="1" bestFit="1" customWidth="1"/>
    <col min="7" max="7" width="20.7109375" style="1" bestFit="1" customWidth="1"/>
    <col min="8" max="8" width="31" style="1" customWidth="1"/>
    <col min="9" max="16384" width="11.42578125" style="1"/>
  </cols>
  <sheetData>
    <row r="2" spans="1:8" s="117" customFormat="1" ht="39.75">
      <c r="A2" s="547" t="s">
        <v>634</v>
      </c>
      <c r="B2" s="547"/>
      <c r="C2" s="547"/>
      <c r="D2" s="547"/>
      <c r="E2" s="547"/>
      <c r="F2" s="547"/>
      <c r="G2" s="547"/>
      <c r="H2" s="547"/>
    </row>
    <row r="3" spans="1:8" s="117" customFormat="1" ht="18.75">
      <c r="A3" s="125"/>
      <c r="B3" s="114"/>
      <c r="C3" s="127"/>
      <c r="D3" s="124"/>
      <c r="E3" s="125"/>
    </row>
    <row r="4" spans="1:8" s="117" customFormat="1" ht="18.75">
      <c r="A4" s="125"/>
      <c r="B4" s="123"/>
      <c r="C4" s="125" t="s">
        <v>2</v>
      </c>
      <c r="D4" s="124"/>
      <c r="E4" s="125"/>
    </row>
    <row r="5" spans="1:8" s="117" customFormat="1" ht="67.5">
      <c r="A5" s="189" t="s">
        <v>0</v>
      </c>
      <c r="B5" s="189" t="s">
        <v>69</v>
      </c>
      <c r="C5" s="189" t="s">
        <v>3</v>
      </c>
      <c r="D5" s="189" t="s">
        <v>4</v>
      </c>
      <c r="E5" s="189" t="s">
        <v>21</v>
      </c>
      <c r="F5" s="189" t="s">
        <v>5</v>
      </c>
      <c r="G5" s="189" t="s">
        <v>1</v>
      </c>
      <c r="H5" s="189" t="s">
        <v>7</v>
      </c>
    </row>
    <row r="6" spans="1:8" ht="110.25" customHeight="1">
      <c r="A6" s="171">
        <v>1</v>
      </c>
      <c r="B6" s="223" t="s">
        <v>208</v>
      </c>
      <c r="C6" s="225" t="s">
        <v>209</v>
      </c>
      <c r="D6" s="253" t="s">
        <v>210</v>
      </c>
      <c r="E6" s="200">
        <v>46177</v>
      </c>
      <c r="F6" s="204">
        <v>1833500</v>
      </c>
      <c r="G6" s="273"/>
      <c r="H6" s="273"/>
    </row>
    <row r="7" spans="1:8" s="23" customFormat="1" ht="146.25" customHeight="1">
      <c r="A7" s="247">
        <v>2</v>
      </c>
      <c r="B7" s="223" t="s">
        <v>329</v>
      </c>
      <c r="C7" s="225" t="s">
        <v>330</v>
      </c>
      <c r="D7" s="253" t="s">
        <v>331</v>
      </c>
      <c r="E7" s="200">
        <v>46230</v>
      </c>
      <c r="F7" s="204">
        <v>639680</v>
      </c>
      <c r="G7" s="202"/>
      <c r="H7" s="274"/>
    </row>
    <row r="8" spans="1:8" s="23" customFormat="1" ht="31.5">
      <c r="A8" s="317"/>
      <c r="B8" s="233"/>
      <c r="C8" s="225"/>
      <c r="D8" s="253"/>
      <c r="E8" s="200"/>
      <c r="F8" s="204"/>
      <c r="G8" s="202"/>
      <c r="H8" s="274"/>
    </row>
    <row r="9" spans="1:8" s="23" customFormat="1" ht="31.5">
      <c r="A9" s="317"/>
      <c r="B9" s="223"/>
      <c r="C9" s="225"/>
      <c r="D9" s="253"/>
      <c r="E9" s="200"/>
      <c r="F9" s="204"/>
      <c r="G9" s="202"/>
      <c r="H9" s="202"/>
    </row>
    <row r="10" spans="1:8" s="23" customFormat="1" ht="31.5">
      <c r="A10" s="317"/>
      <c r="B10" s="223"/>
      <c r="C10" s="225"/>
      <c r="D10" s="253"/>
      <c r="E10" s="200"/>
      <c r="F10" s="204"/>
      <c r="G10" s="202"/>
      <c r="H10" s="202"/>
    </row>
    <row r="11" spans="1:8" s="23" customFormat="1" ht="31.5">
      <c r="A11" s="351"/>
      <c r="B11" s="223"/>
      <c r="C11" s="225"/>
      <c r="D11" s="253"/>
      <c r="E11" s="200"/>
      <c r="F11" s="226">
        <f>SUM(F6:F10)</f>
        <v>2473180</v>
      </c>
      <c r="G11" s="202"/>
      <c r="H11" s="202"/>
    </row>
    <row r="12" spans="1:8" s="23" customFormat="1" ht="18">
      <c r="A12" s="116"/>
      <c r="B12" s="118"/>
      <c r="C12" s="105"/>
      <c r="D12" s="119"/>
      <c r="E12" s="106"/>
      <c r="F12" s="107"/>
      <c r="G12" s="109"/>
      <c r="H12" s="109"/>
    </row>
    <row r="13" spans="1:8" s="23" customFormat="1" ht="18">
      <c r="A13" s="116"/>
      <c r="B13" s="118"/>
      <c r="C13" s="105"/>
      <c r="D13" s="119"/>
      <c r="E13" s="106"/>
      <c r="F13" s="107"/>
      <c r="G13" s="109"/>
      <c r="H13" s="109"/>
    </row>
  </sheetData>
  <mergeCells count="1">
    <mergeCell ref="A2:H2"/>
  </mergeCells>
  <pageMargins left="0.51181102362204722" right="0.51181102362204722" top="0.55118110236220474" bottom="0.55118110236220474" header="0.31496062992125984" footer="0.31496062992125984"/>
  <pageSetup scale="46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view="pageBreakPreview" topLeftCell="A7" zoomScale="60" zoomScaleNormal="120" workbookViewId="0">
      <selection activeCell="E19" sqref="E19"/>
    </sheetView>
  </sheetViews>
  <sheetFormatPr baseColWidth="10" defaultRowHeight="15.75"/>
  <cols>
    <col min="1" max="1" width="7.5703125" style="10" customWidth="1"/>
    <col min="2" max="2" width="27.5703125" style="19" customWidth="1"/>
    <col min="3" max="3" width="31.7109375" style="10" customWidth="1"/>
    <col min="4" max="4" width="37.85546875" style="4" customWidth="1"/>
    <col min="5" max="5" width="31.28515625" style="10" bestFit="1" customWidth="1"/>
    <col min="6" max="6" width="35.5703125" style="1" bestFit="1" customWidth="1"/>
    <col min="7" max="7" width="23.28515625" style="1" customWidth="1"/>
    <col min="8" max="8" width="29.140625" style="1" bestFit="1" customWidth="1"/>
    <col min="9" max="16384" width="11.42578125" style="1"/>
  </cols>
  <sheetData>
    <row r="2" spans="1:8" s="117" customFormat="1" ht="46.5">
      <c r="A2" s="540" t="s">
        <v>635</v>
      </c>
      <c r="B2" s="540"/>
      <c r="C2" s="540"/>
      <c r="D2" s="540"/>
      <c r="E2" s="540"/>
      <c r="F2" s="540"/>
      <c r="G2" s="540"/>
      <c r="H2" s="540"/>
    </row>
    <row r="3" spans="1:8" s="117" customFormat="1" ht="18.75">
      <c r="A3" s="125"/>
      <c r="B3" s="123"/>
      <c r="C3" s="125" t="s">
        <v>2</v>
      </c>
      <c r="D3" s="124"/>
      <c r="E3" s="125"/>
    </row>
    <row r="4" spans="1:8" s="117" customFormat="1" ht="67.5">
      <c r="A4" s="189" t="s">
        <v>0</v>
      </c>
      <c r="B4" s="189" t="s">
        <v>69</v>
      </c>
      <c r="C4" s="189" t="s">
        <v>587</v>
      </c>
      <c r="D4" s="189" t="s">
        <v>4</v>
      </c>
      <c r="E4" s="189" t="s">
        <v>21</v>
      </c>
      <c r="F4" s="189" t="s">
        <v>5</v>
      </c>
      <c r="G4" s="189" t="s">
        <v>1</v>
      </c>
      <c r="H4" s="189" t="s">
        <v>7</v>
      </c>
    </row>
    <row r="5" spans="1:8" s="23" customFormat="1" ht="94.5">
      <c r="A5" s="247">
        <v>1</v>
      </c>
      <c r="B5" s="223" t="s">
        <v>171</v>
      </c>
      <c r="C5" s="225" t="s">
        <v>211</v>
      </c>
      <c r="D5" s="225" t="s">
        <v>636</v>
      </c>
      <c r="E5" s="200">
        <v>46160</v>
      </c>
      <c r="F5" s="204">
        <v>317087</v>
      </c>
      <c r="G5" s="202"/>
      <c r="H5" s="274"/>
    </row>
    <row r="6" spans="1:8" s="23" customFormat="1" ht="78" customHeight="1">
      <c r="A6" s="247">
        <v>2</v>
      </c>
      <c r="B6" s="223" t="s">
        <v>232</v>
      </c>
      <c r="C6" s="225" t="s">
        <v>213</v>
      </c>
      <c r="D6" s="253"/>
      <c r="E6" s="200">
        <v>46226</v>
      </c>
      <c r="F6" s="204">
        <v>317087</v>
      </c>
      <c r="G6" s="202"/>
      <c r="H6" s="274"/>
    </row>
    <row r="7" spans="1:8" s="23" customFormat="1" ht="84" customHeight="1">
      <c r="A7" s="247">
        <v>3</v>
      </c>
      <c r="B7" s="223" t="s">
        <v>212</v>
      </c>
      <c r="C7" s="225" t="s">
        <v>233</v>
      </c>
      <c r="D7" s="253"/>
      <c r="E7" s="200">
        <v>46226</v>
      </c>
      <c r="F7" s="204">
        <v>599294</v>
      </c>
      <c r="G7" s="202"/>
      <c r="H7" s="274"/>
    </row>
    <row r="8" spans="1:8" s="23" customFormat="1" ht="99.75" customHeight="1">
      <c r="A8" s="247">
        <v>4</v>
      </c>
      <c r="B8" s="223" t="s">
        <v>252</v>
      </c>
      <c r="C8" s="225" t="s">
        <v>289</v>
      </c>
      <c r="D8" s="253"/>
      <c r="E8" s="200">
        <v>46226</v>
      </c>
      <c r="F8" s="204">
        <v>599294</v>
      </c>
      <c r="G8" s="202"/>
      <c r="H8" s="202"/>
    </row>
    <row r="9" spans="1:8" s="23" customFormat="1" ht="31.5">
      <c r="A9" s="247">
        <v>5</v>
      </c>
      <c r="B9" s="223" t="s">
        <v>803</v>
      </c>
      <c r="C9" s="225" t="s">
        <v>804</v>
      </c>
      <c r="D9" s="253"/>
      <c r="E9" s="200">
        <v>46258</v>
      </c>
      <c r="F9" s="204">
        <v>649294</v>
      </c>
      <c r="G9" s="202"/>
      <c r="H9" s="202"/>
    </row>
    <row r="10" spans="1:8" s="23" customFormat="1" ht="37.5" customHeight="1">
      <c r="A10" s="247"/>
      <c r="B10" s="223"/>
      <c r="C10" s="225"/>
      <c r="D10" s="253"/>
      <c r="E10" s="200"/>
      <c r="F10" s="226"/>
      <c r="G10" s="202"/>
      <c r="H10" s="202"/>
    </row>
    <row r="11" spans="1:8" s="23" customFormat="1" ht="31.5">
      <c r="A11" s="247"/>
      <c r="B11" s="223"/>
      <c r="C11" s="225"/>
      <c r="D11" s="253"/>
      <c r="E11" s="200"/>
      <c r="F11" s="204"/>
      <c r="G11" s="202"/>
      <c r="H11" s="202"/>
    </row>
    <row r="12" spans="1:8" s="23" customFormat="1" ht="31.5">
      <c r="A12" s="317"/>
      <c r="B12" s="223"/>
      <c r="C12" s="225"/>
      <c r="D12" s="253"/>
      <c r="E12" s="200"/>
      <c r="F12" s="204"/>
      <c r="G12" s="202"/>
      <c r="H12" s="202"/>
    </row>
  </sheetData>
  <mergeCells count="1">
    <mergeCell ref="A2:H2"/>
  </mergeCells>
  <pageMargins left="0.51181102362204722" right="0.51181102362204722" top="0.55118110236220474" bottom="0.55118110236220474" header="0.31496062992125984" footer="0.31496062992125984"/>
  <pageSetup scale="4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view="pageBreakPreview" topLeftCell="A13" zoomScale="60" zoomScaleNormal="120" workbookViewId="0">
      <selection activeCell="A6" sqref="A6"/>
    </sheetView>
  </sheetViews>
  <sheetFormatPr baseColWidth="10" defaultRowHeight="15.75"/>
  <cols>
    <col min="1" max="1" width="26.42578125" style="19" customWidth="1"/>
    <col min="2" max="2" width="54.28515625" style="10" customWidth="1"/>
    <col min="3" max="3" width="62.85546875" style="4" customWidth="1"/>
    <col min="4" max="4" width="35.140625" style="10" customWidth="1"/>
    <col min="5" max="5" width="37.42578125" style="1" customWidth="1"/>
    <col min="6" max="6" width="34.140625" style="1" customWidth="1"/>
    <col min="7" max="7" width="33.28515625" style="1" customWidth="1"/>
    <col min="8" max="16384" width="11.42578125" style="1"/>
  </cols>
  <sheetData>
    <row r="2" spans="1:7" s="414" customFormat="1" ht="46.5">
      <c r="A2" s="540" t="s">
        <v>722</v>
      </c>
      <c r="B2" s="540"/>
      <c r="C2" s="540"/>
      <c r="D2" s="540"/>
      <c r="E2" s="540"/>
      <c r="F2" s="540"/>
      <c r="G2" s="540"/>
    </row>
    <row r="3" spans="1:7" s="288" customFormat="1" ht="36.75">
      <c r="A3" s="289"/>
      <c r="B3" s="198"/>
      <c r="C3" s="290"/>
      <c r="D3" s="291"/>
    </row>
    <row r="4" spans="1:7" s="288" customFormat="1" ht="36.75">
      <c r="A4" s="289"/>
      <c r="B4" s="291" t="s">
        <v>2</v>
      </c>
      <c r="C4" s="290"/>
      <c r="D4" s="291"/>
    </row>
    <row r="5" spans="1:7" s="288" customFormat="1" ht="73.5">
      <c r="A5" s="190" t="s">
        <v>69</v>
      </c>
      <c r="B5" s="190" t="s">
        <v>587</v>
      </c>
      <c r="C5" s="190" t="s">
        <v>4</v>
      </c>
      <c r="D5" s="190" t="s">
        <v>21</v>
      </c>
      <c r="E5" s="190" t="s">
        <v>5</v>
      </c>
      <c r="F5" s="190" t="s">
        <v>1</v>
      </c>
      <c r="G5" s="190" t="s">
        <v>7</v>
      </c>
    </row>
    <row r="6" spans="1:7" ht="63">
      <c r="A6" s="235">
        <v>46029</v>
      </c>
      <c r="B6" s="171" t="s">
        <v>226</v>
      </c>
      <c r="C6" s="171" t="s">
        <v>227</v>
      </c>
      <c r="D6" s="235">
        <v>46030</v>
      </c>
      <c r="E6" s="204">
        <v>9976067</v>
      </c>
      <c r="F6" s="171"/>
      <c r="G6" s="171"/>
    </row>
    <row r="7" spans="1:7" ht="63">
      <c r="A7" s="235">
        <v>46048</v>
      </c>
      <c r="B7" s="225" t="s">
        <v>228</v>
      </c>
      <c r="C7" s="171" t="s">
        <v>229</v>
      </c>
      <c r="D7" s="235">
        <v>46064</v>
      </c>
      <c r="E7" s="204">
        <v>9987600</v>
      </c>
      <c r="F7" s="171"/>
      <c r="G7" s="171"/>
    </row>
    <row r="8" spans="1:7" ht="63">
      <c r="A8" s="235">
        <v>46129</v>
      </c>
      <c r="B8" s="225" t="s">
        <v>230</v>
      </c>
      <c r="C8" s="171" t="s">
        <v>724</v>
      </c>
      <c r="D8" s="235">
        <v>46141</v>
      </c>
      <c r="E8" s="204">
        <v>9333650</v>
      </c>
      <c r="F8" s="171" t="s">
        <v>709</v>
      </c>
      <c r="G8" s="171" t="s">
        <v>723</v>
      </c>
    </row>
    <row r="9" spans="1:7" ht="94.5">
      <c r="A9" s="235">
        <v>46129</v>
      </c>
      <c r="B9" s="225" t="s">
        <v>230</v>
      </c>
      <c r="C9" s="171" t="s">
        <v>231</v>
      </c>
      <c r="D9" s="235">
        <v>45776</v>
      </c>
      <c r="E9" s="204">
        <v>9838975</v>
      </c>
      <c r="F9" s="171" t="s">
        <v>709</v>
      </c>
      <c r="G9" s="171" t="s">
        <v>725</v>
      </c>
    </row>
    <row r="10" spans="1:7" s="23" customFormat="1" ht="99" customHeight="1">
      <c r="A10" s="223" t="s">
        <v>215</v>
      </c>
      <c r="B10" s="225" t="s">
        <v>217</v>
      </c>
      <c r="C10" s="225" t="s">
        <v>218</v>
      </c>
      <c r="D10" s="200">
        <v>46184</v>
      </c>
      <c r="E10" s="204">
        <v>5945000</v>
      </c>
      <c r="F10" s="171" t="s">
        <v>709</v>
      </c>
      <c r="G10" s="171" t="s">
        <v>741</v>
      </c>
    </row>
    <row r="11" spans="1:7" s="23" customFormat="1" ht="85.5" customHeight="1">
      <c r="A11" s="223" t="s">
        <v>219</v>
      </c>
      <c r="B11" s="225" t="s">
        <v>220</v>
      </c>
      <c r="C11" s="225" t="s">
        <v>221</v>
      </c>
      <c r="D11" s="200">
        <v>46184</v>
      </c>
      <c r="E11" s="204">
        <v>2021300</v>
      </c>
      <c r="F11" s="171" t="s">
        <v>709</v>
      </c>
      <c r="G11" s="171" t="s">
        <v>744</v>
      </c>
    </row>
    <row r="12" spans="1:7" s="23" customFormat="1" ht="82.5" customHeight="1">
      <c r="A12" s="223" t="s">
        <v>222</v>
      </c>
      <c r="B12" s="225" t="s">
        <v>223</v>
      </c>
      <c r="C12" s="225" t="s">
        <v>224</v>
      </c>
      <c r="D12" s="200">
        <v>46184</v>
      </c>
      <c r="E12" s="204">
        <v>4399300</v>
      </c>
      <c r="F12" s="202"/>
      <c r="G12" s="202"/>
    </row>
    <row r="13" spans="1:7" s="23" customFormat="1" ht="85.5" customHeight="1">
      <c r="A13" s="223" t="s">
        <v>219</v>
      </c>
      <c r="B13" s="225" t="s">
        <v>220</v>
      </c>
      <c r="C13" s="225" t="s">
        <v>225</v>
      </c>
      <c r="D13" s="200">
        <v>46184</v>
      </c>
      <c r="E13" s="204">
        <v>4161500</v>
      </c>
      <c r="F13" s="171" t="s">
        <v>709</v>
      </c>
      <c r="G13" s="171" t="s">
        <v>740</v>
      </c>
    </row>
    <row r="14" spans="1:7" s="23" customFormat="1" ht="31.5">
      <c r="A14" s="223"/>
      <c r="B14" s="225"/>
      <c r="C14" s="225"/>
      <c r="D14" s="200"/>
      <c r="E14" s="204"/>
      <c r="F14" s="202"/>
      <c r="G14" s="202"/>
    </row>
    <row r="15" spans="1:7" s="23" customFormat="1" ht="31.5">
      <c r="A15" s="223"/>
      <c r="B15" s="225"/>
      <c r="C15" s="225"/>
      <c r="D15" s="200"/>
      <c r="E15" s="204"/>
      <c r="F15" s="202"/>
      <c r="G15" s="202"/>
    </row>
    <row r="16" spans="1:7" s="44" customFormat="1" ht="31.5">
      <c r="A16" s="223"/>
      <c r="B16" s="225"/>
      <c r="C16" s="225"/>
      <c r="D16" s="200"/>
      <c r="E16" s="226">
        <f>SUM(E6:E15)</f>
        <v>55663392</v>
      </c>
      <c r="F16" s="202"/>
      <c r="G16" s="202"/>
    </row>
    <row r="17" spans="1:7" s="23" customFormat="1" ht="31.5">
      <c r="A17" s="223"/>
      <c r="B17" s="225"/>
      <c r="C17" s="225"/>
      <c r="D17" s="200"/>
      <c r="E17" s="204"/>
      <c r="F17" s="202"/>
      <c r="G17" s="202"/>
    </row>
    <row r="18" spans="1:7" s="23" customFormat="1" ht="31.5">
      <c r="A18" s="223"/>
      <c r="B18" s="225"/>
      <c r="C18" s="253"/>
      <c r="D18" s="203"/>
      <c r="E18" s="204"/>
      <c r="F18" s="202"/>
      <c r="G18" s="202"/>
    </row>
    <row r="19" spans="1:7" s="185" customFormat="1" ht="31.5">
      <c r="A19" s="220" t="s">
        <v>745</v>
      </c>
      <c r="B19" s="187"/>
      <c r="C19" s="186"/>
      <c r="D19" s="187"/>
    </row>
    <row r="20" spans="1:7" s="185" customFormat="1" ht="31.5">
      <c r="A20" s="220" t="s">
        <v>730</v>
      </c>
      <c r="B20" s="187"/>
      <c r="C20" s="186"/>
      <c r="D20" s="187"/>
    </row>
    <row r="21" spans="1:7" s="185" customFormat="1" ht="31.5">
      <c r="A21" s="220"/>
      <c r="B21" s="187"/>
      <c r="C21" s="186"/>
      <c r="D21" s="187"/>
    </row>
    <row r="22" spans="1:7" s="185" customFormat="1" ht="31.5">
      <c r="A22" s="220" t="s">
        <v>746</v>
      </c>
      <c r="B22" s="187"/>
      <c r="C22" s="186"/>
      <c r="D22" s="187"/>
    </row>
    <row r="23" spans="1:7" ht="31.5">
      <c r="A23" s="220" t="s">
        <v>730</v>
      </c>
    </row>
  </sheetData>
  <mergeCells count="1">
    <mergeCell ref="A2:G2"/>
  </mergeCells>
  <pageMargins left="0.25" right="0.25" top="0.75" bottom="0.75" header="0.3" footer="0.3"/>
  <pageSetup scale="3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view="pageBreakPreview" zoomScale="60" zoomScaleNormal="120" workbookViewId="0">
      <selection activeCell="L6" sqref="L6"/>
    </sheetView>
  </sheetViews>
  <sheetFormatPr baseColWidth="10" defaultRowHeight="15.75"/>
  <cols>
    <col min="1" max="1" width="7" style="10" bestFit="1" customWidth="1"/>
    <col min="2" max="2" width="24.85546875" style="19" bestFit="1" customWidth="1"/>
    <col min="3" max="3" width="39.140625" style="10" customWidth="1"/>
    <col min="4" max="4" width="32.140625" style="4" customWidth="1"/>
    <col min="5" max="5" width="24.85546875" style="10" bestFit="1" customWidth="1"/>
    <col min="6" max="6" width="36" style="1" customWidth="1"/>
    <col min="7" max="7" width="20.7109375" style="1" bestFit="1" customWidth="1"/>
    <col min="8" max="8" width="29.5703125" style="1" customWidth="1"/>
    <col min="9" max="16384" width="11.42578125" style="1"/>
  </cols>
  <sheetData>
    <row r="1" spans="1:8" s="117" customFormat="1" ht="18.75">
      <c r="A1" s="125"/>
      <c r="B1" s="123"/>
      <c r="C1" s="125"/>
      <c r="D1" s="124"/>
      <c r="E1" s="125"/>
    </row>
    <row r="2" spans="1:8" s="117" customFormat="1" ht="43.5">
      <c r="A2" s="541" t="s">
        <v>637</v>
      </c>
      <c r="B2" s="541"/>
      <c r="C2" s="541"/>
      <c r="D2" s="541"/>
      <c r="E2" s="541"/>
      <c r="F2" s="541"/>
      <c r="G2" s="541"/>
      <c r="H2" s="541"/>
    </row>
    <row r="3" spans="1:8" s="117" customFormat="1" ht="18.75">
      <c r="A3" s="125"/>
      <c r="B3" s="114"/>
      <c r="C3" s="127"/>
      <c r="D3" s="124"/>
      <c r="E3" s="125"/>
    </row>
    <row r="4" spans="1:8" s="117" customFormat="1" ht="18.75">
      <c r="A4" s="125"/>
      <c r="B4" s="123"/>
      <c r="C4" s="125" t="s">
        <v>2</v>
      </c>
      <c r="D4" s="124"/>
      <c r="E4" s="125"/>
    </row>
    <row r="5" spans="1:8" s="276" customFormat="1" ht="67.5">
      <c r="A5" s="189" t="s">
        <v>0</v>
      </c>
      <c r="B5" s="189" t="s">
        <v>69</v>
      </c>
      <c r="C5" s="189" t="s">
        <v>587</v>
      </c>
      <c r="D5" s="189" t="s">
        <v>4</v>
      </c>
      <c r="E5" s="189" t="s">
        <v>21</v>
      </c>
      <c r="F5" s="189" t="s">
        <v>5</v>
      </c>
      <c r="G5" s="189" t="s">
        <v>1</v>
      </c>
      <c r="H5" s="189" t="s">
        <v>7</v>
      </c>
    </row>
    <row r="6" spans="1:8" s="329" customFormat="1" ht="157.5">
      <c r="A6" s="171">
        <v>1</v>
      </c>
      <c r="B6" s="235">
        <v>46203</v>
      </c>
      <c r="C6" s="225" t="s">
        <v>519</v>
      </c>
      <c r="D6" s="171" t="s">
        <v>520</v>
      </c>
      <c r="E6" s="235">
        <v>46180</v>
      </c>
      <c r="F6" s="204">
        <v>1000000</v>
      </c>
      <c r="G6" s="171"/>
      <c r="H6" s="171"/>
    </row>
    <row r="7" spans="1:8" s="329" customFormat="1" ht="28.5">
      <c r="A7" s="229"/>
      <c r="B7" s="432"/>
      <c r="C7" s="228"/>
      <c r="D7" s="229"/>
      <c r="E7" s="432"/>
      <c r="F7" s="256"/>
      <c r="G7" s="229"/>
      <c r="H7" s="229"/>
    </row>
    <row r="8" spans="1:8" s="329" customFormat="1" ht="28.5">
      <c r="A8" s="229"/>
      <c r="B8" s="432"/>
      <c r="C8" s="228"/>
      <c r="D8" s="229"/>
      <c r="E8" s="432"/>
      <c r="F8" s="256"/>
      <c r="G8" s="229"/>
      <c r="H8" s="229"/>
    </row>
    <row r="9" spans="1:8" s="329" customFormat="1" ht="31.5">
      <c r="A9" s="229"/>
      <c r="B9" s="432"/>
      <c r="C9" s="228"/>
      <c r="D9" s="229"/>
      <c r="E9" s="432"/>
      <c r="F9" s="226">
        <f>SUM(F6:F8)</f>
        <v>1000000</v>
      </c>
      <c r="G9" s="229"/>
      <c r="H9" s="229"/>
    </row>
    <row r="10" spans="1:8" s="384" customFormat="1" ht="28.5">
      <c r="A10" s="433"/>
      <c r="B10" s="227"/>
      <c r="C10" s="228"/>
      <c r="D10" s="254"/>
      <c r="E10" s="255"/>
      <c r="F10" s="256"/>
      <c r="G10" s="206"/>
      <c r="H10" s="434"/>
    </row>
  </sheetData>
  <mergeCells count="1">
    <mergeCell ref="A2:H2"/>
  </mergeCells>
  <pageMargins left="0.51181102362204722" right="0.51181102362204722" top="0.55118110236220474" bottom="0.55118110236220474" header="0.31496062992125984" footer="0.31496062992125984"/>
  <pageSetup scale="5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view="pageBreakPreview" zoomScale="60" zoomScaleNormal="120" workbookViewId="0">
      <selection activeCell="F11" sqref="F11"/>
    </sheetView>
  </sheetViews>
  <sheetFormatPr baseColWidth="10" defaultRowHeight="15.75"/>
  <cols>
    <col min="1" max="1" width="7.5703125" style="10" customWidth="1"/>
    <col min="2" max="2" width="24.7109375" style="19" bestFit="1" customWidth="1"/>
    <col min="3" max="3" width="35.140625" style="10" customWidth="1"/>
    <col min="4" max="4" width="32.140625" style="4" customWidth="1"/>
    <col min="5" max="5" width="24.7109375" style="10" bestFit="1" customWidth="1"/>
    <col min="6" max="6" width="31.28515625" style="1" bestFit="1" customWidth="1"/>
    <col min="7" max="7" width="21.140625" style="1" bestFit="1" customWidth="1"/>
    <col min="8" max="8" width="29.140625" style="1" bestFit="1" customWidth="1"/>
    <col min="9" max="16384" width="11.42578125" style="1"/>
  </cols>
  <sheetData>
    <row r="2" spans="1:8" s="414" customFormat="1" ht="46.5">
      <c r="A2" s="540" t="s">
        <v>638</v>
      </c>
      <c r="B2" s="540"/>
      <c r="C2" s="540"/>
      <c r="D2" s="540"/>
      <c r="E2" s="540"/>
      <c r="F2" s="540"/>
      <c r="G2" s="540"/>
      <c r="H2" s="540"/>
    </row>
    <row r="3" spans="1:8" s="117" customFormat="1" ht="18.75">
      <c r="A3" s="125"/>
      <c r="B3" s="114"/>
      <c r="C3" s="127"/>
      <c r="D3" s="124"/>
      <c r="E3" s="125"/>
    </row>
    <row r="4" spans="1:8" s="117" customFormat="1" ht="18.75">
      <c r="A4" s="125"/>
      <c r="B4" s="123"/>
      <c r="C4" s="125" t="s">
        <v>2</v>
      </c>
      <c r="D4" s="124"/>
      <c r="E4" s="125"/>
    </row>
    <row r="5" spans="1:8" s="276" customFormat="1" ht="67.5">
      <c r="A5" s="189" t="s">
        <v>0</v>
      </c>
      <c r="B5" s="189" t="s">
        <v>69</v>
      </c>
      <c r="C5" s="189" t="s">
        <v>587</v>
      </c>
      <c r="D5" s="189" t="s">
        <v>4</v>
      </c>
      <c r="E5" s="189" t="s">
        <v>21</v>
      </c>
      <c r="F5" s="189" t="s">
        <v>5</v>
      </c>
      <c r="G5" s="189" t="s">
        <v>1</v>
      </c>
      <c r="H5" s="189" t="s">
        <v>7</v>
      </c>
    </row>
    <row r="6" spans="1:8" s="329" customFormat="1" ht="63">
      <c r="A6" s="435">
        <v>1</v>
      </c>
      <c r="B6" s="235">
        <v>46143</v>
      </c>
      <c r="C6" s="225" t="s">
        <v>234</v>
      </c>
      <c r="D6" s="171" t="s">
        <v>235</v>
      </c>
      <c r="E6" s="235">
        <v>46174</v>
      </c>
      <c r="F6" s="204">
        <v>250000</v>
      </c>
      <c r="G6" s="171"/>
      <c r="H6" s="171"/>
    </row>
    <row r="7" spans="1:8" ht="31.5">
      <c r="A7" s="151"/>
      <c r="B7" s="15"/>
      <c r="C7" s="20"/>
      <c r="D7" s="8"/>
      <c r="E7" s="15"/>
      <c r="F7" s="204"/>
      <c r="G7" s="8"/>
      <c r="H7" s="8"/>
    </row>
    <row r="8" spans="1:8" ht="31.5">
      <c r="A8" s="151"/>
      <c r="B8" s="15"/>
      <c r="C8" s="20"/>
      <c r="D8" s="8"/>
      <c r="E8" s="15"/>
      <c r="F8" s="204"/>
      <c r="G8" s="8"/>
      <c r="H8" s="8"/>
    </row>
    <row r="9" spans="1:8" ht="31.5">
      <c r="A9" s="151"/>
      <c r="B9" s="15"/>
      <c r="C9" s="20"/>
      <c r="D9" s="8"/>
      <c r="E9" s="15"/>
      <c r="F9" s="204"/>
      <c r="G9" s="8"/>
      <c r="H9" s="8"/>
    </row>
    <row r="10" spans="1:8" s="23" customFormat="1" ht="31.5">
      <c r="A10" s="25"/>
      <c r="B10" s="36"/>
      <c r="C10" s="20"/>
      <c r="D10" s="31"/>
      <c r="E10" s="21"/>
      <c r="F10" s="204"/>
      <c r="G10" s="26"/>
      <c r="H10" s="32"/>
    </row>
    <row r="11" spans="1:8" s="23" customFormat="1" ht="31.5">
      <c r="A11" s="25"/>
      <c r="B11" s="36"/>
      <c r="C11" s="20"/>
      <c r="D11" s="31"/>
      <c r="E11" s="21"/>
      <c r="F11" s="226">
        <f>SUM(F6:F10)</f>
        <v>250000</v>
      </c>
      <c r="G11" s="26"/>
      <c r="H11" s="32"/>
    </row>
    <row r="12" spans="1:8" s="23" customFormat="1">
      <c r="A12" s="25"/>
      <c r="B12" s="36"/>
      <c r="C12" s="20"/>
      <c r="D12" s="31"/>
      <c r="E12" s="21"/>
      <c r="F12" s="22"/>
      <c r="G12" s="26"/>
      <c r="H12" s="26"/>
    </row>
  </sheetData>
  <mergeCells count="1">
    <mergeCell ref="A2:H2"/>
  </mergeCells>
  <pageMargins left="0.51181102362204722" right="0.51181102362204722" top="0.55118110236220474" bottom="0.55118110236220474" header="0.31496062992125984" footer="0.31496062992125984"/>
  <pageSetup scale="4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"/>
  <sheetViews>
    <sheetView view="pageBreakPreview" zoomScale="70" zoomScaleNormal="120" zoomScaleSheetLayoutView="70" workbookViewId="0">
      <selection activeCell="B6" sqref="B6"/>
    </sheetView>
  </sheetViews>
  <sheetFormatPr baseColWidth="10" defaultRowHeight="15.75"/>
  <cols>
    <col min="1" max="1" width="6.7109375" style="10" customWidth="1"/>
    <col min="2" max="2" width="24.85546875" style="19" bestFit="1" customWidth="1"/>
    <col min="3" max="3" width="30.85546875" style="10" customWidth="1"/>
    <col min="4" max="4" width="27.140625" style="4" customWidth="1"/>
    <col min="5" max="5" width="24.85546875" style="10" bestFit="1" customWidth="1"/>
    <col min="6" max="6" width="32.28515625" style="1" customWidth="1"/>
    <col min="7" max="7" width="20.7109375" style="1" bestFit="1" customWidth="1"/>
    <col min="8" max="8" width="29.7109375" style="1" customWidth="1"/>
    <col min="9" max="16384" width="11.42578125" style="1"/>
  </cols>
  <sheetData>
    <row r="2" spans="1:8" s="100" customFormat="1" ht="46.5">
      <c r="A2" s="540" t="s">
        <v>639</v>
      </c>
      <c r="B2" s="540"/>
      <c r="C2" s="540"/>
      <c r="D2" s="540"/>
      <c r="E2" s="540"/>
      <c r="F2" s="540"/>
      <c r="G2" s="540"/>
      <c r="H2" s="540"/>
    </row>
    <row r="3" spans="1:8" s="98" customFormat="1" ht="21.75">
      <c r="A3" s="152"/>
      <c r="B3" s="115"/>
      <c r="C3" s="145"/>
      <c r="D3" s="45"/>
      <c r="E3" s="152"/>
    </row>
    <row r="4" spans="1:8" s="98" customFormat="1" ht="21.75">
      <c r="A4" s="152"/>
      <c r="B4" s="126"/>
      <c r="C4" s="152" t="s">
        <v>2</v>
      </c>
      <c r="D4" s="45"/>
      <c r="E4" s="152"/>
    </row>
    <row r="5" spans="1:8" s="98" customFormat="1" ht="67.5">
      <c r="A5" s="189" t="s">
        <v>0</v>
      </c>
      <c r="B5" s="189" t="s">
        <v>69</v>
      </c>
      <c r="C5" s="189" t="s">
        <v>587</v>
      </c>
      <c r="D5" s="189" t="s">
        <v>4</v>
      </c>
      <c r="E5" s="189" t="s">
        <v>21</v>
      </c>
      <c r="F5" s="189" t="s">
        <v>5</v>
      </c>
      <c r="G5" s="189" t="s">
        <v>1</v>
      </c>
      <c r="H5" s="189" t="s">
        <v>7</v>
      </c>
    </row>
    <row r="6" spans="1:8" ht="126">
      <c r="A6" s="171"/>
      <c r="B6" s="235">
        <v>46203</v>
      </c>
      <c r="C6" s="225" t="s">
        <v>517</v>
      </c>
      <c r="D6" s="171" t="s">
        <v>518</v>
      </c>
      <c r="E6" s="235">
        <v>46180</v>
      </c>
      <c r="F6" s="204">
        <v>360000</v>
      </c>
      <c r="G6" s="229"/>
      <c r="H6" s="229"/>
    </row>
    <row r="7" spans="1:8" ht="31.5">
      <c r="A7" s="171"/>
      <c r="B7" s="235"/>
      <c r="C7" s="225"/>
      <c r="D7" s="171"/>
      <c r="E7" s="235"/>
      <c r="F7" s="204"/>
      <c r="G7" s="229"/>
      <c r="H7" s="229"/>
    </row>
    <row r="8" spans="1:8" ht="31.5">
      <c r="A8" s="171"/>
      <c r="B8" s="235"/>
      <c r="C8" s="225"/>
      <c r="D8" s="171"/>
      <c r="E8" s="235"/>
      <c r="F8" s="204"/>
      <c r="G8" s="229"/>
      <c r="H8" s="229"/>
    </row>
    <row r="9" spans="1:8" ht="31.5">
      <c r="A9" s="171"/>
      <c r="B9" s="235"/>
      <c r="C9" s="225"/>
      <c r="D9" s="171"/>
      <c r="E9" s="235"/>
      <c r="F9" s="226">
        <f>SUM(F6:F8)</f>
        <v>360000</v>
      </c>
      <c r="G9" s="229"/>
      <c r="H9" s="229"/>
    </row>
  </sheetData>
  <mergeCells count="1">
    <mergeCell ref="A2:H2"/>
  </mergeCells>
  <pageMargins left="0.51181102362204722" right="0.51181102362204722" top="0.55118110236220474" bottom="0.55118110236220474" header="0.31496062992125984" footer="0.31496062992125984"/>
  <pageSetup scale="4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view="pageBreakPreview" topLeftCell="A10" zoomScale="60" zoomScaleNormal="120" workbookViewId="0">
      <selection activeCell="G23" sqref="G23"/>
    </sheetView>
  </sheetViews>
  <sheetFormatPr baseColWidth="10" defaultRowHeight="18.75"/>
  <cols>
    <col min="1" max="1" width="8.42578125" style="42" customWidth="1"/>
    <col min="2" max="2" width="24.7109375" style="43" customWidth="1"/>
    <col min="3" max="3" width="31.5703125" style="43" customWidth="1"/>
    <col min="4" max="4" width="26.140625" style="42" customWidth="1"/>
    <col min="5" max="5" width="25.5703125" style="42" customWidth="1"/>
    <col min="6" max="6" width="39.42578125" style="38" customWidth="1"/>
    <col min="7" max="7" width="24.5703125" style="38" customWidth="1"/>
    <col min="8" max="8" width="28.5703125" style="38" customWidth="1"/>
    <col min="9" max="16384" width="11.42578125" style="38"/>
  </cols>
  <sheetData>
    <row r="1" spans="1:8" s="98" customFormat="1" ht="21.75">
      <c r="A1" s="152"/>
      <c r="B1" s="126"/>
      <c r="C1" s="126"/>
      <c r="D1" s="152"/>
      <c r="E1" s="152"/>
    </row>
    <row r="2" spans="1:8" s="98" customFormat="1" ht="46.5">
      <c r="A2" s="540" t="s">
        <v>640</v>
      </c>
      <c r="B2" s="540"/>
      <c r="C2" s="540"/>
      <c r="D2" s="540"/>
      <c r="E2" s="540"/>
      <c r="F2" s="540"/>
      <c r="G2" s="540"/>
      <c r="H2" s="540"/>
    </row>
    <row r="3" spans="1:8" s="98" customFormat="1" ht="21.75">
      <c r="A3" s="152"/>
      <c r="B3" s="115"/>
      <c r="C3" s="115"/>
      <c r="D3" s="145"/>
      <c r="E3" s="152"/>
    </row>
    <row r="4" spans="1:8" s="98" customFormat="1" ht="21.75">
      <c r="A4" s="152"/>
      <c r="B4" s="126"/>
      <c r="C4" s="126"/>
      <c r="D4" s="152" t="s">
        <v>2</v>
      </c>
      <c r="E4" s="152"/>
    </row>
    <row r="5" spans="1:8" s="100" customFormat="1" ht="67.5">
      <c r="A5" s="190" t="s">
        <v>0</v>
      </c>
      <c r="B5" s="189" t="s">
        <v>69</v>
      </c>
      <c r="C5" s="189" t="s">
        <v>587</v>
      </c>
      <c r="D5" s="189" t="s">
        <v>641</v>
      </c>
      <c r="E5" s="189" t="s">
        <v>21</v>
      </c>
      <c r="F5" s="189" t="s">
        <v>5</v>
      </c>
      <c r="G5" s="189" t="s">
        <v>1</v>
      </c>
      <c r="H5" s="189" t="s">
        <v>7</v>
      </c>
    </row>
    <row r="6" spans="1:8" ht="94.5">
      <c r="A6" s="435">
        <v>1</v>
      </c>
      <c r="B6" s="235">
        <v>46063</v>
      </c>
      <c r="C6" s="171" t="s">
        <v>237</v>
      </c>
      <c r="D6" s="225" t="s">
        <v>236</v>
      </c>
      <c r="E6" s="235">
        <v>46064</v>
      </c>
      <c r="F6" s="204">
        <v>8441900</v>
      </c>
      <c r="G6" s="171"/>
      <c r="H6" s="171"/>
    </row>
    <row r="7" spans="1:8" ht="159.75" customHeight="1">
      <c r="A7" s="435">
        <v>2</v>
      </c>
      <c r="B7" s="235">
        <v>46244</v>
      </c>
      <c r="C7" s="171" t="s">
        <v>546</v>
      </c>
      <c r="D7" s="225" t="s">
        <v>545</v>
      </c>
      <c r="E7" s="235">
        <v>46244</v>
      </c>
      <c r="F7" s="204">
        <v>606390</v>
      </c>
      <c r="G7" s="171"/>
      <c r="H7" s="171"/>
    </row>
    <row r="8" spans="1:8" ht="94.5">
      <c r="A8" s="550">
        <v>3</v>
      </c>
      <c r="B8" s="548">
        <v>46233</v>
      </c>
      <c r="C8" s="171" t="s">
        <v>551</v>
      </c>
      <c r="D8" s="225" t="s">
        <v>552</v>
      </c>
      <c r="E8" s="548">
        <v>46245</v>
      </c>
      <c r="F8" s="204">
        <v>3772697</v>
      </c>
      <c r="G8" s="171"/>
      <c r="H8" s="171"/>
    </row>
    <row r="9" spans="1:8" ht="94.5">
      <c r="A9" s="551"/>
      <c r="B9" s="549"/>
      <c r="C9" s="171" t="s">
        <v>551</v>
      </c>
      <c r="D9" s="225" t="s">
        <v>553</v>
      </c>
      <c r="E9" s="549"/>
      <c r="F9" s="204">
        <v>951200</v>
      </c>
      <c r="G9" s="171"/>
      <c r="H9" s="171"/>
    </row>
    <row r="10" spans="1:8" s="44" customFormat="1" ht="31.5">
      <c r="A10" s="317"/>
      <c r="B10" s="223"/>
      <c r="C10" s="223"/>
      <c r="D10" s="225"/>
      <c r="E10" s="200"/>
      <c r="F10" s="204"/>
      <c r="G10" s="202"/>
      <c r="H10" s="274"/>
    </row>
    <row r="11" spans="1:8" s="44" customFormat="1" ht="31.5">
      <c r="A11" s="317"/>
      <c r="B11" s="223"/>
      <c r="C11" s="223"/>
      <c r="D11" s="225"/>
      <c r="E11" s="200"/>
      <c r="F11" s="204"/>
      <c r="G11" s="202"/>
      <c r="H11" s="274"/>
    </row>
    <row r="12" spans="1:8" s="44" customFormat="1" ht="34.5">
      <c r="A12" s="317"/>
      <c r="B12" s="223"/>
      <c r="C12" s="223"/>
      <c r="D12" s="225"/>
      <c r="E12" s="200"/>
      <c r="F12" s="232">
        <f>SUM(F6:F11)</f>
        <v>13772187</v>
      </c>
      <c r="G12" s="202"/>
      <c r="H12" s="202"/>
    </row>
    <row r="13" spans="1:8" s="44" customFormat="1" ht="21">
      <c r="A13" s="57"/>
      <c r="B13" s="149"/>
      <c r="C13" s="149"/>
      <c r="D13" s="53"/>
      <c r="E13" s="56"/>
      <c r="F13" s="55"/>
      <c r="G13" s="121"/>
      <c r="H13" s="121"/>
    </row>
  </sheetData>
  <mergeCells count="4">
    <mergeCell ref="B8:B9"/>
    <mergeCell ref="E8:E9"/>
    <mergeCell ref="A8:A9"/>
    <mergeCell ref="A2:H2"/>
  </mergeCells>
  <pageMargins left="0.51181102362204722" right="0.51181102362204722" top="0.55118110236220474" bottom="0.55118110236220474" header="0.31496062992125984" footer="0.31496062992125984"/>
  <pageSetup scale="4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view="pageBreakPreview" zoomScale="70" zoomScaleNormal="120" zoomScaleSheetLayoutView="70" workbookViewId="0">
      <selection activeCell="D10" sqref="D10"/>
    </sheetView>
  </sheetViews>
  <sheetFormatPr baseColWidth="10" defaultRowHeight="15.75"/>
  <cols>
    <col min="1" max="1" width="7.7109375" style="10" customWidth="1"/>
    <col min="2" max="2" width="27" style="19" customWidth="1"/>
    <col min="3" max="3" width="30.85546875" style="10" customWidth="1"/>
    <col min="4" max="4" width="32.140625" style="4" customWidth="1"/>
    <col min="5" max="5" width="24.85546875" style="10" bestFit="1" customWidth="1"/>
    <col min="6" max="6" width="32" style="1" bestFit="1" customWidth="1"/>
    <col min="7" max="7" width="21.7109375" style="1" customWidth="1"/>
    <col min="8" max="8" width="32.7109375" style="1" customWidth="1"/>
    <col min="9" max="16384" width="11.42578125" style="1"/>
  </cols>
  <sheetData>
    <row r="1" spans="1:8" s="100" customFormat="1" ht="24">
      <c r="A1" s="87"/>
      <c r="B1" s="86"/>
      <c r="C1" s="87"/>
      <c r="D1" s="85"/>
      <c r="E1" s="87"/>
    </row>
    <row r="2" spans="1:8" s="100" customFormat="1" ht="43.5">
      <c r="A2" s="541" t="s">
        <v>642</v>
      </c>
      <c r="B2" s="541"/>
      <c r="C2" s="541"/>
      <c r="D2" s="541"/>
      <c r="E2" s="541"/>
      <c r="F2" s="541"/>
      <c r="G2" s="541"/>
      <c r="H2" s="541"/>
    </row>
    <row r="3" spans="1:8" s="100" customFormat="1" ht="24">
      <c r="A3" s="87"/>
      <c r="B3" s="83"/>
      <c r="C3" s="84"/>
      <c r="D3" s="85"/>
      <c r="E3" s="87"/>
    </row>
    <row r="4" spans="1:8" s="100" customFormat="1" ht="24">
      <c r="A4" s="87"/>
      <c r="B4" s="86"/>
      <c r="C4" s="87" t="s">
        <v>2</v>
      </c>
      <c r="D4" s="85"/>
      <c r="E4" s="87"/>
    </row>
    <row r="5" spans="1:8" s="100" customFormat="1" ht="67.5">
      <c r="A5" s="189" t="s">
        <v>0</v>
      </c>
      <c r="B5" s="189" t="s">
        <v>69</v>
      </c>
      <c r="C5" s="189" t="s">
        <v>587</v>
      </c>
      <c r="D5" s="189" t="s">
        <v>4</v>
      </c>
      <c r="E5" s="189" t="s">
        <v>21</v>
      </c>
      <c r="F5" s="189" t="s">
        <v>5</v>
      </c>
      <c r="G5" s="189" t="s">
        <v>1</v>
      </c>
      <c r="H5" s="189" t="s">
        <v>7</v>
      </c>
    </row>
    <row r="6" spans="1:8" ht="94.5">
      <c r="A6" s="171">
        <v>1</v>
      </c>
      <c r="B6" s="235">
        <v>46049</v>
      </c>
      <c r="C6" s="225" t="s">
        <v>238</v>
      </c>
      <c r="D6" s="171" t="s">
        <v>239</v>
      </c>
      <c r="E6" s="235">
        <v>46210</v>
      </c>
      <c r="F6" s="204">
        <v>246350</v>
      </c>
      <c r="G6" s="171"/>
      <c r="H6" s="171"/>
    </row>
    <row r="7" spans="1:8" ht="31.5">
      <c r="A7" s="171"/>
      <c r="B7" s="235"/>
      <c r="C7" s="225"/>
      <c r="D7" s="171"/>
      <c r="E7" s="235"/>
      <c r="F7" s="204"/>
      <c r="G7" s="171"/>
      <c r="H7" s="171"/>
    </row>
    <row r="8" spans="1:8" ht="31.5">
      <c r="A8" s="171"/>
      <c r="B8" s="235"/>
      <c r="C8" s="225"/>
      <c r="D8" s="171"/>
      <c r="E8" s="235"/>
      <c r="F8" s="204"/>
      <c r="G8" s="171"/>
      <c r="H8" s="171"/>
    </row>
    <row r="9" spans="1:8" ht="31.5">
      <c r="A9" s="171"/>
      <c r="B9" s="235"/>
      <c r="C9" s="225"/>
      <c r="D9" s="171"/>
      <c r="E9" s="235"/>
      <c r="F9" s="226">
        <f>SUM(F6:F8)</f>
        <v>246350</v>
      </c>
      <c r="G9" s="171"/>
      <c r="H9" s="171"/>
    </row>
    <row r="10" spans="1:8" s="23" customFormat="1" ht="31.5">
      <c r="A10" s="317"/>
      <c r="B10" s="223"/>
      <c r="C10" s="225"/>
      <c r="D10" s="253"/>
      <c r="E10" s="200"/>
      <c r="F10" s="204"/>
      <c r="G10" s="202"/>
      <c r="H10" s="274"/>
    </row>
    <row r="11" spans="1:8" s="23" customFormat="1" ht="31.5">
      <c r="A11" s="317"/>
      <c r="B11" s="223"/>
      <c r="C11" s="225"/>
      <c r="D11" s="253"/>
      <c r="E11" s="200"/>
      <c r="F11" s="204"/>
      <c r="G11" s="202"/>
      <c r="H11" s="274"/>
    </row>
  </sheetData>
  <mergeCells count="1">
    <mergeCell ref="A2:H2"/>
  </mergeCells>
  <pageMargins left="0.51181102362204722" right="0.51181102362204722" top="0.55118110236220474" bottom="0.55118110236220474" header="0.31496062992125984" footer="0.31496062992125984"/>
  <pageSetup scale="4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"/>
  <sheetViews>
    <sheetView view="pageBreakPreview" topLeftCell="A7" zoomScale="60" zoomScaleNormal="120" workbookViewId="0">
      <selection activeCell="M5" sqref="M5"/>
    </sheetView>
  </sheetViews>
  <sheetFormatPr baseColWidth="10" defaultRowHeight="15.75"/>
  <cols>
    <col min="1" max="1" width="9.140625" style="10" customWidth="1"/>
    <col min="2" max="2" width="24.7109375" style="19" bestFit="1" customWidth="1"/>
    <col min="3" max="3" width="36.42578125" style="10" customWidth="1"/>
    <col min="4" max="4" width="30.42578125" style="4" customWidth="1"/>
    <col min="5" max="5" width="24.7109375" style="10" bestFit="1" customWidth="1"/>
    <col min="6" max="6" width="32" style="1" bestFit="1" customWidth="1"/>
    <col min="7" max="7" width="23.28515625" style="1" customWidth="1"/>
    <col min="8" max="8" width="34.42578125" style="1" customWidth="1"/>
    <col min="9" max="16384" width="11.42578125" style="1"/>
  </cols>
  <sheetData>
    <row r="2" spans="1:8" ht="46.5">
      <c r="A2" s="540" t="s">
        <v>643</v>
      </c>
      <c r="B2" s="540"/>
      <c r="C2" s="540"/>
      <c r="D2" s="540"/>
      <c r="E2" s="540"/>
      <c r="F2" s="540"/>
      <c r="G2" s="540"/>
      <c r="H2" s="540"/>
    </row>
    <row r="3" spans="1:8">
      <c r="B3" s="18"/>
      <c r="C3" s="14"/>
    </row>
    <row r="4" spans="1:8">
      <c r="C4" s="10" t="s">
        <v>2</v>
      </c>
    </row>
    <row r="5" spans="1:8" ht="67.5">
      <c r="A5" s="189" t="s">
        <v>0</v>
      </c>
      <c r="B5" s="189" t="s">
        <v>69</v>
      </c>
      <c r="C5" s="189" t="s">
        <v>3</v>
      </c>
      <c r="D5" s="189" t="s">
        <v>4</v>
      </c>
      <c r="E5" s="189" t="s">
        <v>21</v>
      </c>
      <c r="F5" s="189" t="s">
        <v>5</v>
      </c>
      <c r="G5" s="189" t="s">
        <v>1</v>
      </c>
      <c r="H5" s="189" t="s">
        <v>7</v>
      </c>
    </row>
    <row r="6" spans="1:8" ht="189">
      <c r="A6" s="171">
        <v>1</v>
      </c>
      <c r="B6" s="235">
        <v>46153</v>
      </c>
      <c r="C6" s="225" t="s">
        <v>240</v>
      </c>
      <c r="D6" s="171" t="s">
        <v>241</v>
      </c>
      <c r="E6" s="235">
        <v>46154</v>
      </c>
      <c r="F6" s="204">
        <v>150000</v>
      </c>
      <c r="G6" s="171"/>
      <c r="H6" s="171"/>
    </row>
    <row r="7" spans="1:8" ht="157.5">
      <c r="A7" s="171">
        <v>2</v>
      </c>
      <c r="B7" s="235">
        <v>46181</v>
      </c>
      <c r="C7" s="225" t="s">
        <v>242</v>
      </c>
      <c r="D7" s="171" t="s">
        <v>243</v>
      </c>
      <c r="E7" s="235">
        <v>46182</v>
      </c>
      <c r="F7" s="204">
        <v>150000</v>
      </c>
      <c r="G7" s="171"/>
      <c r="H7" s="171"/>
    </row>
    <row r="8" spans="1:8" ht="157.5">
      <c r="A8" s="229">
        <v>3</v>
      </c>
      <c r="B8" s="432">
        <v>46252</v>
      </c>
      <c r="C8" s="225" t="s">
        <v>673</v>
      </c>
      <c r="D8" s="171" t="s">
        <v>672</v>
      </c>
      <c r="E8" s="432">
        <v>46252</v>
      </c>
      <c r="F8" s="256">
        <v>150000</v>
      </c>
      <c r="G8" s="229"/>
      <c r="H8" s="229"/>
    </row>
    <row r="9" spans="1:8" ht="28.5">
      <c r="A9" s="229"/>
      <c r="B9" s="432"/>
      <c r="C9" s="228"/>
      <c r="D9" s="229"/>
      <c r="E9" s="432"/>
      <c r="F9" s="256"/>
      <c r="G9" s="229"/>
      <c r="H9" s="229"/>
    </row>
    <row r="10" spans="1:8" s="23" customFormat="1" ht="31.5">
      <c r="A10" s="433"/>
      <c r="B10" s="227"/>
      <c r="C10" s="228"/>
      <c r="D10" s="254"/>
      <c r="E10" s="255"/>
      <c r="F10" s="226">
        <f>SUM(F6:F9)</f>
        <v>450000</v>
      </c>
      <c r="G10" s="206"/>
      <c r="H10" s="434"/>
    </row>
  </sheetData>
  <mergeCells count="1">
    <mergeCell ref="A2:H2"/>
  </mergeCells>
  <pageMargins left="0.25" right="0.25" top="0.75" bottom="0.75" header="0.3" footer="0.3"/>
  <pageSetup scale="4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view="pageBreakPreview" zoomScale="60" zoomScaleNormal="120" workbookViewId="0">
      <selection activeCell="B6" sqref="B6"/>
    </sheetView>
  </sheetViews>
  <sheetFormatPr baseColWidth="10" defaultRowHeight="15.75"/>
  <cols>
    <col min="1" max="1" width="7" style="10" customWidth="1"/>
    <col min="2" max="2" width="24.7109375" style="19" bestFit="1" customWidth="1"/>
    <col min="3" max="3" width="29.28515625" style="10" customWidth="1"/>
    <col min="4" max="4" width="30.42578125" style="4" customWidth="1"/>
    <col min="5" max="5" width="21.7109375" style="10" customWidth="1"/>
    <col min="6" max="6" width="31.42578125" style="1" bestFit="1" customWidth="1"/>
    <col min="7" max="7" width="26.140625" style="1" customWidth="1"/>
    <col min="8" max="8" width="29.42578125" style="1" customWidth="1"/>
    <col min="9" max="16384" width="11.42578125" style="1"/>
  </cols>
  <sheetData>
    <row r="2" spans="1:8" s="38" customFormat="1" ht="43.5">
      <c r="A2" s="541" t="s">
        <v>644</v>
      </c>
      <c r="B2" s="541"/>
      <c r="C2" s="541"/>
      <c r="D2" s="541"/>
      <c r="E2" s="541"/>
      <c r="F2" s="541"/>
      <c r="G2" s="541"/>
      <c r="H2" s="541"/>
    </row>
    <row r="3" spans="1:8">
      <c r="B3" s="18"/>
      <c r="C3" s="14"/>
    </row>
    <row r="4" spans="1:8">
      <c r="D4" s="9"/>
    </row>
    <row r="6" spans="1:8" s="117" customFormat="1" ht="67.5">
      <c r="A6" s="189" t="s">
        <v>0</v>
      </c>
      <c r="B6" s="189" t="s">
        <v>69</v>
      </c>
      <c r="C6" s="189" t="s">
        <v>587</v>
      </c>
      <c r="D6" s="189" t="s">
        <v>4</v>
      </c>
      <c r="E6" s="189" t="s">
        <v>21</v>
      </c>
      <c r="F6" s="189" t="s">
        <v>5</v>
      </c>
      <c r="G6" s="189" t="s">
        <v>1</v>
      </c>
      <c r="H6" s="189" t="s">
        <v>7</v>
      </c>
    </row>
    <row r="7" spans="1:8" ht="63">
      <c r="A7" s="171">
        <v>1</v>
      </c>
      <c r="B7" s="235">
        <v>46129</v>
      </c>
      <c r="C7" s="225" t="s">
        <v>653</v>
      </c>
      <c r="D7" s="171" t="s">
        <v>421</v>
      </c>
      <c r="E7" s="235"/>
      <c r="F7" s="204">
        <v>270000</v>
      </c>
      <c r="G7" s="171"/>
      <c r="H7" s="171"/>
    </row>
    <row r="8" spans="1:8" ht="31.5">
      <c r="A8" s="171">
        <v>2</v>
      </c>
      <c r="B8" s="235"/>
      <c r="C8" s="225"/>
      <c r="D8" s="171"/>
      <c r="E8" s="235"/>
      <c r="F8" s="204"/>
      <c r="G8" s="171"/>
      <c r="H8" s="171"/>
    </row>
    <row r="9" spans="1:8" ht="31.5">
      <c r="A9" s="171"/>
      <c r="B9" s="235"/>
      <c r="C9" s="225"/>
      <c r="D9" s="171"/>
      <c r="E9" s="235"/>
      <c r="F9" s="204"/>
      <c r="G9" s="171"/>
      <c r="H9" s="171"/>
    </row>
    <row r="10" spans="1:8" ht="31.5">
      <c r="A10" s="171"/>
      <c r="B10" s="235"/>
      <c r="C10" s="225"/>
      <c r="D10" s="171"/>
      <c r="E10" s="235"/>
      <c r="F10" s="204"/>
      <c r="G10" s="171"/>
      <c r="H10" s="171"/>
    </row>
    <row r="11" spans="1:8" s="23" customFormat="1" ht="31.5">
      <c r="A11" s="317"/>
      <c r="B11" s="223"/>
      <c r="C11" s="225"/>
      <c r="D11" s="253"/>
      <c r="E11" s="200"/>
      <c r="F11" s="226">
        <f>SUM(F7:F10)</f>
        <v>270000</v>
      </c>
      <c r="G11" s="202"/>
      <c r="H11" s="274"/>
    </row>
  </sheetData>
  <mergeCells count="1">
    <mergeCell ref="A2:H2"/>
  </mergeCells>
  <pageMargins left="0.51181102362204722" right="0.51181102362204722" top="0.55118110236220474" bottom="0.55118110236220474" header="0.31496062992125984" footer="0.31496062992125984"/>
  <pageSetup scale="47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view="pageBreakPreview" zoomScale="60" zoomScaleNormal="120" workbookViewId="0">
      <selection sqref="A1:XFD1048576"/>
    </sheetView>
  </sheetViews>
  <sheetFormatPr baseColWidth="10" defaultRowHeight="18"/>
  <cols>
    <col min="1" max="1" width="27.140625" style="104" customWidth="1"/>
    <col min="2" max="2" width="31.85546875" style="47" customWidth="1"/>
    <col min="3" max="3" width="39.140625" style="46" customWidth="1"/>
    <col min="4" max="4" width="27.85546875" style="47" customWidth="1"/>
    <col min="5" max="5" width="39.5703125" style="48" customWidth="1"/>
    <col min="6" max="6" width="28.42578125" style="48" customWidth="1"/>
    <col min="7" max="7" width="31.85546875" style="48" customWidth="1"/>
    <col min="8" max="16384" width="11.42578125" style="48"/>
  </cols>
  <sheetData>
    <row r="1" spans="1:7" ht="46.5">
      <c r="A1" s="540" t="s">
        <v>783</v>
      </c>
      <c r="B1" s="540"/>
      <c r="C1" s="540"/>
      <c r="D1" s="540"/>
      <c r="E1" s="540"/>
      <c r="F1" s="540"/>
      <c r="G1" s="540"/>
    </row>
    <row r="2" spans="1:7">
      <c r="A2" s="103"/>
      <c r="B2" s="102"/>
    </row>
    <row r="3" spans="1:7">
      <c r="B3" s="47" t="s">
        <v>2</v>
      </c>
    </row>
    <row r="4" spans="1:7" s="288" customFormat="1" ht="73.5">
      <c r="A4" s="190" t="s">
        <v>69</v>
      </c>
      <c r="B4" s="190" t="s">
        <v>587</v>
      </c>
      <c r="C4" s="190" t="s">
        <v>4</v>
      </c>
      <c r="D4" s="190" t="s">
        <v>21</v>
      </c>
      <c r="E4" s="190" t="s">
        <v>5</v>
      </c>
      <c r="F4" s="190" t="s">
        <v>1</v>
      </c>
      <c r="G4" s="190" t="s">
        <v>7</v>
      </c>
    </row>
    <row r="5" spans="1:7" ht="94.5">
      <c r="A5" s="223" t="s">
        <v>165</v>
      </c>
      <c r="B5" s="225" t="s">
        <v>244</v>
      </c>
      <c r="C5" s="171" t="s">
        <v>245</v>
      </c>
      <c r="D5" s="235">
        <v>46041</v>
      </c>
      <c r="E5" s="204">
        <v>3120000</v>
      </c>
      <c r="F5" s="171"/>
      <c r="G5" s="171"/>
    </row>
    <row r="6" spans="1:7" ht="94.5">
      <c r="A6" s="223" t="s">
        <v>167</v>
      </c>
      <c r="B6" s="225" t="s">
        <v>246</v>
      </c>
      <c r="C6" s="171" t="s">
        <v>245</v>
      </c>
      <c r="D6" s="235">
        <v>46107</v>
      </c>
      <c r="E6" s="204">
        <v>3120000</v>
      </c>
      <c r="F6" s="171"/>
      <c r="G6" s="171"/>
    </row>
    <row r="7" spans="1:7" ht="94.5">
      <c r="A7" s="223" t="s">
        <v>169</v>
      </c>
      <c r="B7" s="225" t="s">
        <v>247</v>
      </c>
      <c r="C7" s="171" t="s">
        <v>245</v>
      </c>
      <c r="D7" s="235">
        <v>46135</v>
      </c>
      <c r="E7" s="204">
        <v>3770000</v>
      </c>
      <c r="F7" s="171"/>
      <c r="G7" s="171"/>
    </row>
    <row r="8" spans="1:7" ht="94.5">
      <c r="A8" s="223" t="s">
        <v>173</v>
      </c>
      <c r="B8" s="225" t="s">
        <v>248</v>
      </c>
      <c r="C8" s="171" t="s">
        <v>245</v>
      </c>
      <c r="D8" s="235">
        <v>46199</v>
      </c>
      <c r="E8" s="204">
        <v>3120000</v>
      </c>
      <c r="F8" s="171" t="s">
        <v>709</v>
      </c>
      <c r="G8" s="171" t="s">
        <v>729</v>
      </c>
    </row>
    <row r="9" spans="1:7" s="108" customFormat="1" ht="94.5">
      <c r="A9" s="223" t="s">
        <v>212</v>
      </c>
      <c r="B9" s="225" t="s">
        <v>512</v>
      </c>
      <c r="C9" s="171" t="s">
        <v>245</v>
      </c>
      <c r="D9" s="200">
        <v>46237</v>
      </c>
      <c r="E9" s="204">
        <v>3120000</v>
      </c>
      <c r="F9" s="171" t="s">
        <v>709</v>
      </c>
      <c r="G9" s="171" t="s">
        <v>751</v>
      </c>
    </row>
    <row r="10" spans="1:7" s="108" customFormat="1" ht="31.5">
      <c r="A10" s="223"/>
      <c r="B10" s="225"/>
      <c r="C10" s="253"/>
      <c r="D10" s="200"/>
      <c r="E10" s="204"/>
      <c r="F10" s="202"/>
      <c r="G10" s="274"/>
    </row>
    <row r="11" spans="1:7" s="108" customFormat="1" ht="31.5">
      <c r="A11" s="223"/>
      <c r="B11" s="225"/>
      <c r="C11" s="253"/>
      <c r="D11" s="200"/>
      <c r="E11" s="204"/>
      <c r="F11" s="202"/>
      <c r="G11" s="202"/>
    </row>
    <row r="12" spans="1:7" s="108" customFormat="1" ht="31.5">
      <c r="A12" s="223"/>
      <c r="B12" s="225"/>
      <c r="C12" s="253"/>
      <c r="D12" s="200"/>
      <c r="E12" s="226">
        <f>SUM(E5:E11)</f>
        <v>16250000</v>
      </c>
      <c r="F12" s="202"/>
      <c r="G12" s="202"/>
    </row>
    <row r="13" spans="1:7" ht="31.5">
      <c r="A13" s="220"/>
      <c r="B13" s="187"/>
      <c r="C13" s="186"/>
      <c r="D13" s="187"/>
      <c r="E13" s="185"/>
      <c r="F13" s="185"/>
      <c r="G13" s="185"/>
    </row>
    <row r="14" spans="1:7" s="337" customFormat="1" ht="34.5">
      <c r="A14" s="335" t="s">
        <v>771</v>
      </c>
      <c r="B14" s="334"/>
      <c r="C14" s="336"/>
      <c r="D14" s="334"/>
    </row>
    <row r="15" spans="1:7" s="337" customFormat="1" ht="34.5">
      <c r="A15" s="335" t="s">
        <v>730</v>
      </c>
      <c r="B15" s="334"/>
      <c r="C15" s="336"/>
      <c r="D15" s="334"/>
    </row>
    <row r="16" spans="1:7" s="337" customFormat="1" ht="34.5">
      <c r="A16" s="335"/>
      <c r="B16" s="334"/>
      <c r="C16" s="336"/>
      <c r="D16" s="334"/>
    </row>
    <row r="17" spans="1:7" s="337" customFormat="1" ht="34.5">
      <c r="A17" s="335" t="s">
        <v>731</v>
      </c>
      <c r="B17" s="334"/>
      <c r="C17" s="336"/>
      <c r="D17" s="334"/>
    </row>
    <row r="18" spans="1:7" s="337" customFormat="1" ht="34.5">
      <c r="A18" s="335" t="s">
        <v>732</v>
      </c>
      <c r="B18" s="334"/>
      <c r="C18" s="336"/>
      <c r="D18" s="334"/>
    </row>
    <row r="19" spans="1:7" s="337" customFormat="1" ht="39" customHeight="1">
      <c r="B19" s="334"/>
      <c r="C19" s="336"/>
      <c r="D19" s="334"/>
    </row>
    <row r="20" spans="1:7" s="337" customFormat="1" ht="34.5">
      <c r="A20" s="335" t="s">
        <v>731</v>
      </c>
      <c r="B20" s="334"/>
      <c r="C20" s="336"/>
      <c r="D20" s="334"/>
    </row>
    <row r="21" spans="1:7" s="337" customFormat="1" ht="30" customHeight="1">
      <c r="A21" s="335" t="s">
        <v>732</v>
      </c>
      <c r="B21" s="334"/>
      <c r="C21" s="336"/>
      <c r="D21" s="334"/>
    </row>
    <row r="22" spans="1:7" s="337" customFormat="1" ht="42.75" customHeight="1">
      <c r="A22" s="335"/>
      <c r="B22" s="334"/>
      <c r="C22" s="336"/>
      <c r="D22" s="334"/>
    </row>
    <row r="23" spans="1:7" s="337" customFormat="1" ht="34.5">
      <c r="A23" s="335" t="s">
        <v>765</v>
      </c>
      <c r="B23" s="334"/>
      <c r="C23" s="336"/>
      <c r="D23" s="334"/>
    </row>
    <row r="24" spans="1:7" s="337" customFormat="1" ht="34.5">
      <c r="A24" s="335"/>
      <c r="B24" s="334"/>
      <c r="C24" s="336"/>
      <c r="D24" s="334"/>
    </row>
    <row r="26" spans="1:7" s="288" customFormat="1" ht="73.5">
      <c r="A26" s="190" t="s">
        <v>69</v>
      </c>
      <c r="B26" s="190" t="s">
        <v>587</v>
      </c>
      <c r="C26" s="190" t="s">
        <v>4</v>
      </c>
      <c r="D26" s="190" t="s">
        <v>21</v>
      </c>
      <c r="E26" s="190" t="s">
        <v>5</v>
      </c>
      <c r="F26" s="190" t="s">
        <v>1</v>
      </c>
      <c r="G26" s="190" t="s">
        <v>7</v>
      </c>
    </row>
    <row r="27" spans="1:7" ht="94.5">
      <c r="A27" s="223" t="s">
        <v>507</v>
      </c>
      <c r="B27" s="225" t="s">
        <v>795</v>
      </c>
      <c r="C27" s="171" t="s">
        <v>245</v>
      </c>
      <c r="D27" s="235">
        <v>46255</v>
      </c>
      <c r="E27" s="204">
        <v>3120000</v>
      </c>
      <c r="F27" s="171"/>
      <c r="G27" s="171"/>
    </row>
  </sheetData>
  <mergeCells count="1">
    <mergeCell ref="A1:G1"/>
  </mergeCells>
  <pageMargins left="0.23622047244094491" right="0.23622047244094491" top="0.74803149606299213" bottom="0.74803149606299213" header="0.31496062992125984" footer="0.31496062992125984"/>
  <pageSetup scale="45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8"/>
  <sheetViews>
    <sheetView view="pageBreakPreview" topLeftCell="A4" zoomScale="50" zoomScaleNormal="120" zoomScaleSheetLayoutView="50" workbookViewId="0">
      <selection activeCell="G6" sqref="G6"/>
    </sheetView>
  </sheetViews>
  <sheetFormatPr baseColWidth="10" defaultRowHeight="15.75"/>
  <cols>
    <col min="1" max="1" width="10.85546875" style="1" customWidth="1"/>
    <col min="2" max="2" width="29.28515625" style="19" customWidth="1"/>
    <col min="3" max="3" width="47.28515625" style="10" customWidth="1"/>
    <col min="4" max="4" width="40.7109375" style="4" customWidth="1"/>
    <col min="5" max="5" width="33" style="10" customWidth="1"/>
    <col min="6" max="6" width="40.7109375" style="1" customWidth="1"/>
    <col min="7" max="7" width="25.28515625" style="1" customWidth="1"/>
    <col min="8" max="8" width="33.5703125" style="1" customWidth="1"/>
    <col min="9" max="16384" width="11.42578125" style="1"/>
  </cols>
  <sheetData>
    <row r="2" spans="1:9" s="117" customFormat="1" ht="46.5">
      <c r="A2" s="540" t="s">
        <v>674</v>
      </c>
      <c r="B2" s="540"/>
      <c r="C2" s="540"/>
      <c r="D2" s="540"/>
      <c r="E2" s="540"/>
      <c r="F2" s="540"/>
      <c r="G2" s="540"/>
      <c r="H2" s="540"/>
    </row>
    <row r="3" spans="1:9" s="117" customFormat="1" ht="18.75">
      <c r="B3" s="114"/>
      <c r="C3" s="127"/>
      <c r="D3" s="124"/>
      <c r="E3" s="125"/>
    </row>
    <row r="4" spans="1:9" s="117" customFormat="1" ht="18.75">
      <c r="B4" s="123"/>
      <c r="C4" s="125"/>
      <c r="D4" s="124"/>
      <c r="E4" s="125"/>
    </row>
    <row r="5" spans="1:9" s="100" customFormat="1" ht="79.5">
      <c r="A5" s="494" t="s">
        <v>0</v>
      </c>
      <c r="B5" s="332" t="s">
        <v>69</v>
      </c>
      <c r="C5" s="332" t="s">
        <v>587</v>
      </c>
      <c r="D5" s="332" t="s">
        <v>4</v>
      </c>
      <c r="E5" s="332" t="s">
        <v>21</v>
      </c>
      <c r="F5" s="332" t="s">
        <v>5</v>
      </c>
      <c r="G5" s="332" t="s">
        <v>1</v>
      </c>
      <c r="H5" s="332" t="s">
        <v>7</v>
      </c>
    </row>
    <row r="6" spans="1:9" ht="151.5" customHeight="1">
      <c r="A6" s="169">
        <v>1</v>
      </c>
      <c r="B6" s="343" t="s">
        <v>249</v>
      </c>
      <c r="C6" s="242" t="s">
        <v>250</v>
      </c>
      <c r="D6" s="180" t="s">
        <v>251</v>
      </c>
      <c r="E6" s="333">
        <v>46237</v>
      </c>
      <c r="F6" s="344">
        <v>1192567</v>
      </c>
      <c r="G6" s="180"/>
      <c r="H6" s="180"/>
      <c r="I6" s="38"/>
    </row>
    <row r="7" spans="1:9" ht="156" customHeight="1">
      <c r="A7" s="169">
        <v>2</v>
      </c>
      <c r="B7" s="343" t="s">
        <v>616</v>
      </c>
      <c r="C7" s="242" t="s">
        <v>617</v>
      </c>
      <c r="D7" s="180" t="s">
        <v>618</v>
      </c>
      <c r="E7" s="333">
        <v>46248</v>
      </c>
      <c r="F7" s="344">
        <v>950011</v>
      </c>
      <c r="G7" s="180"/>
      <c r="H7" s="180"/>
      <c r="I7" s="38"/>
    </row>
    <row r="8" spans="1:9" ht="138">
      <c r="A8" s="518">
        <v>3</v>
      </c>
      <c r="B8" s="343" t="s">
        <v>811</v>
      </c>
      <c r="C8" s="242" t="s">
        <v>823</v>
      </c>
      <c r="D8" s="180" t="s">
        <v>824</v>
      </c>
      <c r="E8" s="333">
        <v>46258</v>
      </c>
      <c r="F8" s="344">
        <v>3565811</v>
      </c>
      <c r="G8" s="180"/>
      <c r="H8" s="180"/>
      <c r="I8" s="38"/>
    </row>
    <row r="9" spans="1:9" ht="34.5">
      <c r="A9" s="437"/>
      <c r="B9" s="343"/>
      <c r="C9" s="242"/>
      <c r="D9" s="180"/>
      <c r="E9" s="333"/>
      <c r="F9" s="232"/>
      <c r="G9" s="180"/>
      <c r="H9" s="180"/>
      <c r="I9" s="38"/>
    </row>
    <row r="10" spans="1:9" s="23" customFormat="1" ht="31.5">
      <c r="A10" s="399"/>
      <c r="B10" s="426"/>
      <c r="C10" s="420"/>
      <c r="D10" s="421"/>
      <c r="E10" s="427"/>
      <c r="F10" s="428"/>
      <c r="G10" s="399"/>
      <c r="H10" s="431"/>
      <c r="I10" s="44"/>
    </row>
    <row r="11" spans="1:9" s="23" customFormat="1" ht="31.5">
      <c r="A11" s="399"/>
      <c r="B11" s="426"/>
      <c r="C11" s="420"/>
      <c r="D11" s="421"/>
      <c r="E11" s="427"/>
      <c r="F11" s="428"/>
      <c r="G11" s="399"/>
      <c r="H11" s="431"/>
    </row>
    <row r="12" spans="1:9" s="23" customFormat="1" ht="31.5">
      <c r="A12" s="399"/>
      <c r="B12" s="426"/>
      <c r="C12" s="420"/>
      <c r="D12" s="421"/>
      <c r="E12" s="427"/>
      <c r="F12" s="428"/>
      <c r="G12" s="399"/>
      <c r="H12" s="399"/>
    </row>
    <row r="13" spans="1:9" ht="31.5">
      <c r="A13" s="353"/>
      <c r="B13" s="424"/>
      <c r="C13" s="379"/>
      <c r="D13" s="378"/>
      <c r="E13" s="379"/>
      <c r="F13" s="353"/>
      <c r="G13" s="353"/>
      <c r="H13" s="353"/>
    </row>
    <row r="14" spans="1:9" ht="31.5">
      <c r="A14" s="353"/>
      <c r="B14" s="424"/>
      <c r="C14" s="379"/>
      <c r="D14" s="378"/>
      <c r="E14" s="379"/>
      <c r="F14" s="353"/>
      <c r="G14" s="353"/>
      <c r="H14" s="353"/>
    </row>
    <row r="15" spans="1:9" ht="31.5">
      <c r="A15" s="353"/>
      <c r="B15" s="424"/>
      <c r="C15" s="379"/>
      <c r="D15" s="378"/>
      <c r="E15" s="379"/>
      <c r="F15" s="353"/>
      <c r="G15" s="353"/>
      <c r="H15" s="353"/>
    </row>
    <row r="16" spans="1:9" ht="31.5">
      <c r="A16" s="353"/>
      <c r="B16" s="424"/>
      <c r="C16" s="379"/>
      <c r="D16" s="378"/>
      <c r="E16" s="379"/>
      <c r="F16" s="353"/>
      <c r="G16" s="353"/>
      <c r="H16" s="353"/>
    </row>
    <row r="17" spans="1:8" ht="31.5">
      <c r="A17" s="353"/>
      <c r="B17" s="424"/>
      <c r="C17" s="379"/>
      <c r="D17" s="378"/>
      <c r="E17" s="379"/>
      <c r="F17" s="353"/>
      <c r="G17" s="353"/>
      <c r="H17" s="353"/>
    </row>
    <row r="18" spans="1:8" ht="31.5">
      <c r="A18" s="353"/>
      <c r="B18" s="424"/>
      <c r="C18" s="379"/>
      <c r="D18" s="378"/>
      <c r="E18" s="379"/>
      <c r="F18" s="353"/>
      <c r="G18" s="353"/>
      <c r="H18" s="353"/>
    </row>
    <row r="19" spans="1:8" ht="31.5">
      <c r="A19" s="353"/>
      <c r="B19" s="424"/>
      <c r="C19" s="379"/>
      <c r="D19" s="378"/>
      <c r="E19" s="379"/>
      <c r="F19" s="353"/>
      <c r="G19" s="353"/>
      <c r="H19" s="353"/>
    </row>
    <row r="20" spans="1:8" ht="31.5">
      <c r="A20" s="353"/>
      <c r="B20" s="424"/>
      <c r="C20" s="379"/>
      <c r="D20" s="378"/>
      <c r="E20" s="379"/>
      <c r="F20" s="353"/>
      <c r="G20" s="353"/>
      <c r="H20" s="353"/>
    </row>
    <row r="21" spans="1:8" ht="31.5">
      <c r="A21" s="353"/>
      <c r="B21" s="424"/>
      <c r="C21" s="379"/>
      <c r="D21" s="378"/>
      <c r="E21" s="379"/>
      <c r="F21" s="353"/>
      <c r="G21" s="353"/>
      <c r="H21" s="353"/>
    </row>
    <row r="22" spans="1:8" ht="31.5">
      <c r="A22" s="353"/>
      <c r="B22" s="424"/>
      <c r="C22" s="379"/>
      <c r="D22" s="378"/>
      <c r="E22" s="379"/>
      <c r="F22" s="353"/>
      <c r="G22" s="353"/>
      <c r="H22" s="353"/>
    </row>
    <row r="23" spans="1:8" ht="31.5">
      <c r="A23" s="353"/>
      <c r="B23" s="424"/>
      <c r="C23" s="379"/>
      <c r="D23" s="378"/>
      <c r="E23" s="379"/>
      <c r="F23" s="353"/>
      <c r="G23" s="353"/>
      <c r="H23" s="353"/>
    </row>
    <row r="24" spans="1:8" ht="31.5">
      <c r="A24" s="353"/>
      <c r="B24" s="424"/>
      <c r="C24" s="379"/>
      <c r="D24" s="378"/>
      <c r="E24" s="379"/>
      <c r="F24" s="353"/>
      <c r="G24" s="353"/>
      <c r="H24" s="353"/>
    </row>
    <row r="25" spans="1:8" ht="31.5">
      <c r="A25" s="353"/>
      <c r="B25" s="424"/>
      <c r="C25" s="379"/>
      <c r="D25" s="378"/>
      <c r="E25" s="379"/>
      <c r="F25" s="353"/>
      <c r="G25" s="353"/>
      <c r="H25" s="353"/>
    </row>
    <row r="26" spans="1:8" ht="31.5">
      <c r="A26" s="353"/>
      <c r="B26" s="424"/>
      <c r="C26" s="379"/>
      <c r="D26" s="378"/>
      <c r="E26" s="379"/>
      <c r="F26" s="353"/>
      <c r="G26" s="353"/>
      <c r="H26" s="353"/>
    </row>
    <row r="27" spans="1:8" ht="31.5">
      <c r="A27" s="353"/>
      <c r="B27" s="424"/>
      <c r="C27" s="379"/>
      <c r="D27" s="378"/>
      <c r="E27" s="379"/>
      <c r="F27" s="353"/>
      <c r="G27" s="353"/>
      <c r="H27" s="353"/>
    </row>
    <row r="28" spans="1:8" ht="31.5">
      <c r="A28" s="353"/>
      <c r="B28" s="424"/>
      <c r="C28" s="379"/>
      <c r="D28" s="378"/>
      <c r="E28" s="379"/>
      <c r="F28" s="353"/>
      <c r="G28" s="353"/>
      <c r="H28" s="353"/>
    </row>
    <row r="29" spans="1:8" ht="31.5">
      <c r="A29" s="353"/>
      <c r="B29" s="424"/>
      <c r="C29" s="379"/>
      <c r="D29" s="378"/>
      <c r="E29" s="379"/>
      <c r="F29" s="353"/>
      <c r="G29" s="353"/>
      <c r="H29" s="353"/>
    </row>
    <row r="30" spans="1:8" ht="31.5">
      <c r="A30" s="353"/>
      <c r="B30" s="424"/>
      <c r="C30" s="379"/>
      <c r="D30" s="378"/>
      <c r="E30" s="379"/>
      <c r="F30" s="353"/>
      <c r="G30" s="353"/>
      <c r="H30" s="353"/>
    </row>
    <row r="31" spans="1:8" ht="31.5">
      <c r="A31" s="353"/>
      <c r="B31" s="424"/>
      <c r="C31" s="379"/>
      <c r="D31" s="378"/>
      <c r="E31" s="379"/>
      <c r="F31" s="353"/>
      <c r="G31" s="353"/>
      <c r="H31" s="353"/>
    </row>
    <row r="32" spans="1:8" ht="31.5">
      <c r="A32" s="353"/>
      <c r="B32" s="424"/>
      <c r="C32" s="379"/>
      <c r="D32" s="378"/>
      <c r="E32" s="379"/>
      <c r="F32" s="353"/>
      <c r="G32" s="353"/>
      <c r="H32" s="353"/>
    </row>
    <row r="33" spans="1:8" ht="31.5">
      <c r="A33" s="353"/>
      <c r="B33" s="424"/>
      <c r="C33" s="379"/>
      <c r="D33" s="378"/>
      <c r="E33" s="379"/>
      <c r="F33" s="353"/>
      <c r="G33" s="353"/>
      <c r="H33" s="353"/>
    </row>
    <row r="34" spans="1:8" ht="31.5">
      <c r="A34" s="353"/>
      <c r="B34" s="424"/>
      <c r="C34" s="379"/>
      <c r="D34" s="378"/>
      <c r="E34" s="379"/>
      <c r="F34" s="353"/>
      <c r="G34" s="353"/>
      <c r="H34" s="353"/>
    </row>
    <row r="35" spans="1:8" ht="31.5">
      <c r="A35" s="353"/>
      <c r="B35" s="424"/>
      <c r="C35" s="379"/>
      <c r="D35" s="378"/>
      <c r="E35" s="379"/>
      <c r="F35" s="353"/>
      <c r="G35" s="353"/>
      <c r="H35" s="353"/>
    </row>
    <row r="36" spans="1:8" ht="31.5">
      <c r="A36" s="353"/>
      <c r="B36" s="424"/>
      <c r="C36" s="379"/>
      <c r="D36" s="378"/>
      <c r="E36" s="379"/>
      <c r="F36" s="353"/>
      <c r="G36" s="353"/>
      <c r="H36" s="353"/>
    </row>
    <row r="37" spans="1:8" ht="31.5">
      <c r="A37" s="353"/>
      <c r="B37" s="424"/>
      <c r="C37" s="379"/>
      <c r="D37" s="378"/>
      <c r="E37" s="379"/>
      <c r="F37" s="353"/>
      <c r="G37" s="353"/>
      <c r="H37" s="353"/>
    </row>
    <row r="38" spans="1:8" ht="31.5">
      <c r="A38" s="353"/>
      <c r="B38" s="424"/>
      <c r="C38" s="379"/>
      <c r="D38" s="378"/>
      <c r="E38" s="379"/>
      <c r="F38" s="353"/>
      <c r="G38" s="353"/>
      <c r="H38" s="353"/>
    </row>
  </sheetData>
  <mergeCells count="1">
    <mergeCell ref="A2:H2"/>
  </mergeCells>
  <pageMargins left="0.51181102362204722" right="0.51181102362204722" top="0.55118110236220474" bottom="0.55118110236220474" header="0.31496062992125984" footer="0.31496062992125984"/>
  <pageSetup scale="34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view="pageBreakPreview" zoomScale="50" zoomScaleNormal="120" zoomScaleSheetLayoutView="50" workbookViewId="0">
      <selection activeCell="K12" sqref="K12"/>
    </sheetView>
  </sheetViews>
  <sheetFormatPr baseColWidth="10" defaultRowHeight="15.75"/>
  <cols>
    <col min="1" max="1" width="29" style="19" customWidth="1"/>
    <col min="2" max="2" width="27.85546875" style="10" customWidth="1"/>
    <col min="3" max="3" width="37" style="4" customWidth="1"/>
    <col min="4" max="4" width="29.28515625" style="10" customWidth="1"/>
    <col min="5" max="5" width="37.28515625" style="1" bestFit="1" customWidth="1"/>
    <col min="6" max="6" width="24.28515625" style="1" customWidth="1"/>
    <col min="7" max="7" width="38.42578125" style="1" customWidth="1"/>
    <col min="8" max="16384" width="11.42578125" style="1"/>
  </cols>
  <sheetData>
    <row r="1" spans="1:7" s="117" customFormat="1" ht="46.5">
      <c r="A1" s="540" t="s">
        <v>675</v>
      </c>
      <c r="B1" s="540"/>
      <c r="C1" s="540"/>
      <c r="D1" s="540"/>
      <c r="E1" s="540"/>
      <c r="F1" s="540"/>
      <c r="G1" s="540"/>
    </row>
    <row r="2" spans="1:7" s="117" customFormat="1" ht="18.75">
      <c r="A2" s="114"/>
      <c r="B2" s="127"/>
      <c r="C2" s="124"/>
      <c r="D2" s="125"/>
    </row>
    <row r="3" spans="1:7" s="117" customFormat="1" ht="18.75">
      <c r="A3" s="123"/>
      <c r="B3" s="125" t="s">
        <v>2</v>
      </c>
      <c r="C3" s="124"/>
      <c r="D3" s="125"/>
    </row>
    <row r="4" spans="1:7" s="117" customFormat="1" ht="73.5">
      <c r="A4" s="190" t="s">
        <v>69</v>
      </c>
      <c r="B4" s="190" t="s">
        <v>587</v>
      </c>
      <c r="C4" s="190" t="s">
        <v>4</v>
      </c>
      <c r="D4" s="190" t="s">
        <v>21</v>
      </c>
      <c r="E4" s="190" t="s">
        <v>5</v>
      </c>
      <c r="F4" s="190" t="s">
        <v>1</v>
      </c>
      <c r="G4" s="190" t="s">
        <v>7</v>
      </c>
    </row>
    <row r="5" spans="1:7" ht="138">
      <c r="A5" s="343" t="s">
        <v>253</v>
      </c>
      <c r="B5" s="242" t="s">
        <v>254</v>
      </c>
      <c r="C5" s="180" t="s">
        <v>255</v>
      </c>
      <c r="D5" s="333">
        <v>46225</v>
      </c>
      <c r="E5" s="344">
        <v>700000</v>
      </c>
      <c r="F5" s="180"/>
      <c r="G5" s="180"/>
    </row>
    <row r="6" spans="1:7" ht="103.5">
      <c r="A6" s="343" t="s">
        <v>615</v>
      </c>
      <c r="B6" s="242" t="s">
        <v>613</v>
      </c>
      <c r="C6" s="180" t="s">
        <v>614</v>
      </c>
      <c r="D6" s="333">
        <v>46248</v>
      </c>
      <c r="E6" s="344">
        <v>900000</v>
      </c>
      <c r="F6" s="180"/>
      <c r="G6" s="180"/>
    </row>
    <row r="7" spans="1:7" ht="34.5">
      <c r="A7" s="343"/>
      <c r="B7" s="242"/>
      <c r="C7" s="180"/>
      <c r="D7" s="333"/>
      <c r="E7" s="344"/>
      <c r="F7" s="180"/>
      <c r="G7" s="180"/>
    </row>
    <row r="8" spans="1:7" ht="34.5">
      <c r="A8" s="343"/>
      <c r="B8" s="242"/>
      <c r="C8" s="180"/>
      <c r="D8" s="333"/>
      <c r="E8" s="344"/>
      <c r="F8" s="180"/>
      <c r="G8" s="180"/>
    </row>
    <row r="9" spans="1:7" s="23" customFormat="1" ht="34.5">
      <c r="A9" s="343"/>
      <c r="B9" s="242"/>
      <c r="C9" s="258"/>
      <c r="D9" s="243"/>
      <c r="E9" s="232">
        <f>SUM(E5:E8)</f>
        <v>1600000</v>
      </c>
      <c r="F9" s="244"/>
      <c r="G9" s="346"/>
    </row>
    <row r="10" spans="1:7" s="23" customFormat="1" ht="34.5">
      <c r="A10" s="343"/>
      <c r="B10" s="242"/>
      <c r="C10" s="258"/>
      <c r="D10" s="243"/>
      <c r="E10" s="344"/>
      <c r="F10" s="244"/>
      <c r="G10" s="346"/>
    </row>
  </sheetData>
  <mergeCells count="1">
    <mergeCell ref="A1:G1"/>
  </mergeCells>
  <pageMargins left="0.51181102362204722" right="0.51181102362204722" top="0.55118110236220474" bottom="0.55118110236220474" header="0.31496062992125984" footer="0.31496062992125984"/>
  <pageSetup scale="4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"/>
  <sheetViews>
    <sheetView view="pageBreakPreview" zoomScale="70" zoomScaleNormal="120" zoomScaleSheetLayoutView="70" workbookViewId="0">
      <selection activeCell="J9" sqref="J9"/>
    </sheetView>
  </sheetViews>
  <sheetFormatPr baseColWidth="10" defaultRowHeight="18"/>
  <cols>
    <col min="1" max="1" width="8.140625" style="47" customWidth="1"/>
    <col min="2" max="2" width="20.85546875" style="104" customWidth="1"/>
    <col min="3" max="3" width="27.85546875" style="47" customWidth="1"/>
    <col min="4" max="4" width="30.42578125" style="46" customWidth="1"/>
    <col min="5" max="5" width="27.140625" style="47" bestFit="1" customWidth="1"/>
    <col min="6" max="6" width="34.42578125" style="48" bestFit="1" customWidth="1"/>
    <col min="7" max="7" width="25.85546875" style="48" customWidth="1"/>
    <col min="8" max="8" width="30.5703125" style="48" customWidth="1"/>
    <col min="9" max="16384" width="11.42578125" style="48"/>
  </cols>
  <sheetData>
    <row r="2" spans="1:8" ht="46.5">
      <c r="A2" s="540" t="s">
        <v>772</v>
      </c>
      <c r="B2" s="540"/>
      <c r="C2" s="540"/>
      <c r="D2" s="540"/>
      <c r="E2" s="540"/>
      <c r="F2" s="540"/>
      <c r="G2" s="540"/>
      <c r="H2" s="540"/>
    </row>
    <row r="3" spans="1:8">
      <c r="B3" s="103"/>
      <c r="C3" s="102"/>
    </row>
    <row r="4" spans="1:8">
      <c r="C4" s="47" t="s">
        <v>2</v>
      </c>
    </row>
    <row r="5" spans="1:8" ht="73.5">
      <c r="A5" s="190" t="s">
        <v>0</v>
      </c>
      <c r="B5" s="190" t="s">
        <v>69</v>
      </c>
      <c r="C5" s="190" t="s">
        <v>3</v>
      </c>
      <c r="D5" s="190" t="s">
        <v>4</v>
      </c>
      <c r="E5" s="190" t="s">
        <v>21</v>
      </c>
      <c r="F5" s="190" t="s">
        <v>5</v>
      </c>
      <c r="G5" s="190" t="s">
        <v>1</v>
      </c>
      <c r="H5" s="190" t="s">
        <v>7</v>
      </c>
    </row>
    <row r="6" spans="1:8" ht="96" customHeight="1">
      <c r="A6" s="180">
        <v>1</v>
      </c>
      <c r="B6" s="343" t="s">
        <v>419</v>
      </c>
      <c r="C6" s="242" t="s">
        <v>420</v>
      </c>
      <c r="D6" s="180" t="s">
        <v>499</v>
      </c>
      <c r="E6" s="333">
        <v>46227</v>
      </c>
      <c r="F6" s="344">
        <v>130000</v>
      </c>
      <c r="G6" s="180"/>
      <c r="H6" s="180"/>
    </row>
    <row r="7" spans="1:8" ht="105" customHeight="1">
      <c r="A7" s="180">
        <v>2</v>
      </c>
      <c r="B7" s="343" t="s">
        <v>419</v>
      </c>
      <c r="C7" s="242" t="s">
        <v>498</v>
      </c>
      <c r="D7" s="180" t="s">
        <v>499</v>
      </c>
      <c r="E7" s="333">
        <v>46232</v>
      </c>
      <c r="F7" s="344">
        <v>195000</v>
      </c>
      <c r="G7" s="180"/>
      <c r="H7" s="180"/>
    </row>
    <row r="8" spans="1:8" ht="63">
      <c r="A8" s="180">
        <v>3</v>
      </c>
      <c r="B8" s="223" t="s">
        <v>252</v>
      </c>
      <c r="C8" s="225" t="s">
        <v>813</v>
      </c>
      <c r="D8" s="171" t="s">
        <v>499</v>
      </c>
      <c r="E8" s="235">
        <v>46259</v>
      </c>
      <c r="F8" s="204">
        <v>160000</v>
      </c>
      <c r="G8" s="180"/>
      <c r="H8" s="180"/>
    </row>
    <row r="9" spans="1:8" ht="56.25" customHeight="1">
      <c r="A9" s="180"/>
      <c r="B9" s="343"/>
      <c r="C9" s="242"/>
      <c r="D9" s="180"/>
      <c r="E9" s="333"/>
      <c r="F9" s="232">
        <f>SUM(F6:F8)</f>
        <v>485000</v>
      </c>
      <c r="G9" s="180"/>
      <c r="H9" s="180"/>
    </row>
  </sheetData>
  <mergeCells count="1">
    <mergeCell ref="A2:H2"/>
  </mergeCells>
  <pageMargins left="0.51181102362204722" right="0.51181102362204722" top="0.55118110236220474" bottom="0.55118110236220474" header="0.31496062992125984" footer="0.31496062992125984"/>
  <pageSetup scale="4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8"/>
  <sheetViews>
    <sheetView view="pageBreakPreview" topLeftCell="A4" zoomScale="80" zoomScaleNormal="120" zoomScaleSheetLayoutView="80" workbookViewId="0">
      <selection activeCell="F6" sqref="F6"/>
    </sheetView>
  </sheetViews>
  <sheetFormatPr baseColWidth="10" defaultRowHeight="15.75"/>
  <cols>
    <col min="1" max="1" width="22.5703125" style="19" customWidth="1"/>
    <col min="2" max="2" width="27.85546875" style="10" customWidth="1"/>
    <col min="3" max="3" width="33.7109375" style="4" customWidth="1"/>
    <col min="4" max="4" width="25.85546875" style="10" customWidth="1"/>
    <col min="5" max="5" width="33.42578125" style="1" customWidth="1"/>
    <col min="6" max="6" width="26" style="1" customWidth="1"/>
    <col min="7" max="7" width="29.42578125" style="1" customWidth="1"/>
    <col min="8" max="16384" width="11.42578125" style="1"/>
  </cols>
  <sheetData>
    <row r="2" spans="1:7" s="117" customFormat="1" ht="46.5">
      <c r="A2" s="540" t="s">
        <v>676</v>
      </c>
      <c r="B2" s="540"/>
      <c r="C2" s="540"/>
      <c r="D2" s="540"/>
      <c r="E2" s="540"/>
      <c r="F2" s="540"/>
      <c r="G2" s="540"/>
    </row>
    <row r="3" spans="1:7" s="117" customFormat="1" ht="18.75">
      <c r="A3" s="114"/>
      <c r="B3" s="127"/>
      <c r="C3" s="124"/>
      <c r="D3" s="125"/>
    </row>
    <row r="4" spans="1:7" s="117" customFormat="1" ht="18.75">
      <c r="A4" s="123"/>
      <c r="B4" s="125" t="s">
        <v>2</v>
      </c>
      <c r="C4" s="124"/>
      <c r="D4" s="125"/>
    </row>
    <row r="5" spans="1:7" s="117" customFormat="1" ht="67.5">
      <c r="A5" s="189" t="s">
        <v>69</v>
      </c>
      <c r="B5" s="189" t="s">
        <v>3</v>
      </c>
      <c r="C5" s="189" t="s">
        <v>4</v>
      </c>
      <c r="D5" s="189" t="s">
        <v>21</v>
      </c>
      <c r="E5" s="189" t="s">
        <v>5</v>
      </c>
      <c r="F5" s="189" t="s">
        <v>1</v>
      </c>
      <c r="G5" s="189" t="s">
        <v>7</v>
      </c>
    </row>
    <row r="6" spans="1:7" s="48" customFormat="1" ht="157.5">
      <c r="A6" s="223" t="s">
        <v>257</v>
      </c>
      <c r="B6" s="225" t="s">
        <v>32</v>
      </c>
      <c r="C6" s="171" t="s">
        <v>258</v>
      </c>
      <c r="D6" s="235">
        <v>46030</v>
      </c>
      <c r="E6" s="204">
        <v>1031000</v>
      </c>
      <c r="F6" s="171"/>
      <c r="G6" s="171"/>
    </row>
    <row r="7" spans="1:7" ht="31.5">
      <c r="A7" s="223"/>
      <c r="B7" s="225"/>
      <c r="C7" s="171"/>
      <c r="D7" s="235"/>
      <c r="E7" s="204"/>
      <c r="F7" s="171"/>
      <c r="G7" s="171"/>
    </row>
    <row r="8" spans="1:7" ht="31.5">
      <c r="A8" s="223"/>
      <c r="B8" s="225"/>
      <c r="C8" s="171"/>
      <c r="D8" s="235"/>
      <c r="E8" s="226">
        <f>SUM(E6:E7)</f>
        <v>1031000</v>
      </c>
      <c r="F8" s="171"/>
      <c r="G8" s="171"/>
    </row>
  </sheetData>
  <mergeCells count="1">
    <mergeCell ref="A2:G2"/>
  </mergeCells>
  <pageMargins left="0.51181102362204722" right="0.51181102362204722" top="0.55118110236220474" bottom="0.55118110236220474" header="0.31496062992125984" footer="0.31496062992125984"/>
  <pageSetup scale="47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1"/>
  <sheetViews>
    <sheetView view="pageBreakPreview" zoomScale="130" zoomScaleNormal="120" zoomScaleSheetLayoutView="130" workbookViewId="0">
      <selection activeCell="C15" sqref="C15"/>
    </sheetView>
  </sheetViews>
  <sheetFormatPr baseColWidth="10" defaultRowHeight="15.75"/>
  <cols>
    <col min="1" max="1" width="15.42578125" style="19" customWidth="1"/>
    <col min="2" max="2" width="27.85546875" style="10" customWidth="1"/>
    <col min="3" max="3" width="30.42578125" style="4" customWidth="1"/>
    <col min="4" max="4" width="15" style="10" customWidth="1"/>
    <col min="5" max="5" width="19.85546875" style="1" customWidth="1"/>
    <col min="6" max="6" width="28.5703125" style="10" customWidth="1"/>
    <col min="7" max="7" width="13.28515625" style="1" customWidth="1"/>
    <col min="8" max="8" width="18.5703125" style="1" customWidth="1"/>
    <col min="9" max="16384" width="11.42578125" style="1"/>
  </cols>
  <sheetData>
    <row r="2" spans="1:8">
      <c r="A2" s="18" t="s">
        <v>350</v>
      </c>
      <c r="B2" s="14"/>
    </row>
    <row r="3" spans="1:8">
      <c r="A3" s="18" t="s">
        <v>111</v>
      </c>
      <c r="B3" s="14"/>
    </row>
    <row r="4" spans="1:8">
      <c r="A4" s="18" t="s">
        <v>112</v>
      </c>
      <c r="B4" s="14"/>
    </row>
    <row r="5" spans="1:8">
      <c r="A5" s="18" t="s">
        <v>119</v>
      </c>
      <c r="B5" s="14"/>
    </row>
    <row r="6" spans="1:8">
      <c r="A6" s="18" t="s">
        <v>256</v>
      </c>
      <c r="B6" s="14"/>
    </row>
    <row r="7" spans="1:8">
      <c r="A7" s="18" t="s">
        <v>351</v>
      </c>
      <c r="B7" s="14"/>
    </row>
    <row r="8" spans="1:8">
      <c r="C8" s="9"/>
    </row>
    <row r="9" spans="1:8">
      <c r="B9" s="10" t="s">
        <v>2</v>
      </c>
    </row>
    <row r="10" spans="1:8" ht="31.5">
      <c r="A10" s="2" t="s">
        <v>69</v>
      </c>
      <c r="B10" s="2" t="s">
        <v>3</v>
      </c>
      <c r="C10" s="2" t="s">
        <v>4</v>
      </c>
      <c r="D10" s="2" t="s">
        <v>21</v>
      </c>
      <c r="E10" s="2" t="s">
        <v>5</v>
      </c>
      <c r="F10" s="2" t="s">
        <v>16</v>
      </c>
      <c r="G10" s="2" t="s">
        <v>1</v>
      </c>
      <c r="H10" s="2" t="s">
        <v>7</v>
      </c>
    </row>
    <row r="11" spans="1:8" ht="31.5">
      <c r="A11" s="36" t="s">
        <v>348</v>
      </c>
      <c r="B11" s="20" t="s">
        <v>32</v>
      </c>
      <c r="C11" s="8" t="s">
        <v>349</v>
      </c>
      <c r="D11" s="15">
        <v>46057</v>
      </c>
      <c r="E11" s="22">
        <v>303500</v>
      </c>
      <c r="F11" s="8"/>
      <c r="G11" s="8"/>
      <c r="H11" s="8"/>
    </row>
    <row r="12" spans="1:8">
      <c r="A12" s="36"/>
      <c r="B12" s="20"/>
      <c r="C12" s="8"/>
      <c r="D12" s="15"/>
      <c r="E12" s="22"/>
      <c r="F12" s="8"/>
      <c r="G12" s="8"/>
      <c r="H12" s="8"/>
    </row>
    <row r="13" spans="1:8">
      <c r="A13" s="36"/>
      <c r="B13" s="20"/>
      <c r="C13" s="8"/>
      <c r="D13" s="15"/>
      <c r="E13" s="22"/>
      <c r="F13" s="8"/>
      <c r="G13" s="8"/>
      <c r="H13" s="8"/>
    </row>
    <row r="14" spans="1:8">
      <c r="A14" s="36"/>
      <c r="B14" s="20"/>
      <c r="C14" s="8"/>
      <c r="D14" s="15"/>
      <c r="E14" s="22"/>
      <c r="F14" s="8"/>
      <c r="G14" s="8"/>
      <c r="H14" s="8"/>
    </row>
    <row r="15" spans="1:8" s="23" customFormat="1">
      <c r="A15" s="36"/>
      <c r="B15" s="20"/>
      <c r="C15" s="31"/>
      <c r="D15" s="21"/>
      <c r="E15" s="22"/>
      <c r="F15" s="25"/>
      <c r="G15" s="26"/>
      <c r="H15" s="32"/>
    </row>
    <row r="16" spans="1:8" s="23" customFormat="1">
      <c r="A16" s="36"/>
      <c r="B16" s="20"/>
      <c r="C16" s="31"/>
      <c r="D16" s="21"/>
      <c r="E16" s="22"/>
      <c r="F16" s="25"/>
      <c r="G16" s="26"/>
      <c r="H16" s="32"/>
    </row>
    <row r="17" spans="1:8" s="23" customFormat="1">
      <c r="A17" s="36"/>
      <c r="B17" s="20"/>
      <c r="C17" s="31"/>
      <c r="D17" s="21"/>
      <c r="E17" s="22"/>
      <c r="F17" s="25"/>
      <c r="G17" s="26"/>
      <c r="H17" s="26"/>
    </row>
    <row r="18" spans="1:8" s="23" customFormat="1">
      <c r="A18" s="36"/>
      <c r="B18" s="20"/>
      <c r="C18" s="31"/>
      <c r="D18" s="21"/>
      <c r="E18" s="22"/>
      <c r="F18" s="25"/>
      <c r="G18" s="26"/>
      <c r="H18" s="26"/>
    </row>
    <row r="19" spans="1:8" s="23" customFormat="1">
      <c r="A19" s="36"/>
      <c r="B19" s="20"/>
      <c r="C19" s="31"/>
      <c r="D19" s="21"/>
      <c r="E19" s="22"/>
      <c r="F19" s="27"/>
      <c r="G19" s="26"/>
      <c r="H19" s="26"/>
    </row>
    <row r="20" spans="1:8" s="23" customFormat="1">
      <c r="A20" s="36"/>
      <c r="B20" s="20"/>
      <c r="C20" s="31"/>
      <c r="D20" s="21"/>
      <c r="E20" s="22"/>
      <c r="F20" s="25"/>
      <c r="G20" s="26"/>
      <c r="H20" s="26"/>
    </row>
    <row r="21" spans="1:8" s="23" customFormat="1">
      <c r="A21" s="36"/>
      <c r="B21" s="20"/>
      <c r="C21" s="31"/>
      <c r="D21" s="21"/>
      <c r="E21" s="22"/>
      <c r="F21" s="25"/>
      <c r="G21" s="26"/>
      <c r="H21" s="26"/>
    </row>
    <row r="22" spans="1:8" s="23" customFormat="1">
      <c r="A22" s="36"/>
      <c r="B22" s="20"/>
      <c r="C22" s="31"/>
      <c r="D22" s="28"/>
      <c r="E22" s="22"/>
      <c r="F22" s="30"/>
      <c r="G22" s="26"/>
      <c r="H22" s="26"/>
    </row>
    <row r="23" spans="1:8" s="23" customFormat="1">
      <c r="A23" s="36"/>
      <c r="B23" s="30"/>
      <c r="C23" s="31"/>
      <c r="D23" s="28"/>
      <c r="E23" s="29"/>
      <c r="F23" s="30"/>
      <c r="G23" s="26"/>
      <c r="H23" s="26"/>
    </row>
    <row r="24" spans="1:8" s="23" customFormat="1">
      <c r="A24" s="33"/>
      <c r="B24" s="20"/>
      <c r="C24" s="31"/>
      <c r="D24" s="28"/>
      <c r="E24" s="29"/>
      <c r="F24" s="30"/>
      <c r="G24" s="26"/>
      <c r="H24" s="26"/>
    </row>
    <row r="25" spans="1:8" s="23" customFormat="1">
      <c r="A25" s="33"/>
      <c r="B25" s="20"/>
      <c r="C25" s="31"/>
      <c r="D25" s="28"/>
      <c r="E25" s="29"/>
      <c r="F25" s="30"/>
      <c r="G25" s="26"/>
      <c r="H25" s="26"/>
    </row>
    <row r="26" spans="1:8" s="23" customFormat="1">
      <c r="A26" s="33"/>
      <c r="B26" s="20"/>
      <c r="C26" s="31"/>
      <c r="D26" s="28"/>
      <c r="E26" s="29"/>
      <c r="F26" s="20"/>
      <c r="G26" s="26"/>
      <c r="H26" s="26"/>
    </row>
    <row r="27" spans="1:8" s="23" customFormat="1">
      <c r="A27" s="33"/>
      <c r="B27" s="20"/>
      <c r="C27" s="31"/>
      <c r="D27" s="28"/>
      <c r="E27" s="29"/>
      <c r="F27" s="20"/>
      <c r="G27" s="26"/>
      <c r="H27" s="26"/>
    </row>
    <row r="28" spans="1:8" s="23" customFormat="1">
      <c r="A28" s="33"/>
      <c r="B28" s="20"/>
      <c r="C28" s="31"/>
      <c r="D28" s="28"/>
      <c r="E28" s="29"/>
      <c r="F28" s="20"/>
      <c r="G28" s="26"/>
      <c r="H28" s="26"/>
    </row>
    <row r="29" spans="1:8" s="23" customFormat="1">
      <c r="A29" s="34"/>
      <c r="B29" s="30"/>
      <c r="C29" s="31"/>
      <c r="D29" s="28"/>
      <c r="E29" s="29"/>
      <c r="F29" s="30"/>
      <c r="G29" s="26"/>
      <c r="H29" s="26"/>
    </row>
    <row r="30" spans="1:8" s="23" customFormat="1">
      <c r="A30" s="34"/>
      <c r="B30" s="30"/>
      <c r="C30" s="31"/>
      <c r="D30" s="28"/>
      <c r="E30" s="29"/>
      <c r="F30" s="30"/>
      <c r="G30" s="26"/>
      <c r="H30" s="26"/>
    </row>
    <row r="31" spans="1:8">
      <c r="A31" s="33"/>
      <c r="B31" s="6"/>
      <c r="C31" s="16"/>
      <c r="D31" s="11"/>
      <c r="E31" s="12"/>
      <c r="F31" s="6"/>
      <c r="G31" s="3"/>
      <c r="H31" s="3"/>
    </row>
    <row r="32" spans="1:8">
      <c r="A32" s="33"/>
      <c r="B32" s="6"/>
      <c r="C32" s="16"/>
      <c r="D32" s="11"/>
      <c r="E32" s="12"/>
      <c r="F32" s="6"/>
      <c r="G32" s="3"/>
      <c r="H32" s="3"/>
    </row>
    <row r="33" spans="1:8">
      <c r="A33" s="33"/>
      <c r="B33" s="6"/>
      <c r="C33" s="16"/>
      <c r="D33" s="11"/>
      <c r="E33" s="12"/>
      <c r="F33" s="6"/>
      <c r="G33" s="3"/>
      <c r="H33" s="3"/>
    </row>
    <row r="34" spans="1:8">
      <c r="A34" s="33"/>
      <c r="B34" s="6"/>
      <c r="C34" s="8"/>
      <c r="D34" s="11"/>
      <c r="E34" s="12"/>
      <c r="F34" s="6"/>
      <c r="G34" s="3"/>
      <c r="H34" s="3"/>
    </row>
    <row r="35" spans="1:8">
      <c r="A35" s="33"/>
      <c r="B35" s="6"/>
      <c r="C35" s="8"/>
      <c r="D35" s="11"/>
      <c r="E35" s="12"/>
      <c r="F35" s="6"/>
      <c r="G35" s="3"/>
      <c r="H35" s="3"/>
    </row>
    <row r="36" spans="1:8">
      <c r="A36" s="33"/>
      <c r="B36" s="6"/>
      <c r="C36" s="8"/>
      <c r="D36" s="11"/>
      <c r="E36" s="12"/>
      <c r="F36" s="6"/>
      <c r="G36" s="3"/>
      <c r="H36" s="3"/>
    </row>
    <row r="37" spans="1:8">
      <c r="A37" s="33"/>
      <c r="B37" s="6"/>
      <c r="C37" s="8"/>
      <c r="D37" s="11"/>
      <c r="E37" s="12"/>
      <c r="F37" s="6"/>
      <c r="G37" s="3"/>
      <c r="H37" s="3"/>
    </row>
    <row r="38" spans="1:8">
      <c r="A38" s="33"/>
      <c r="B38" s="6"/>
      <c r="C38" s="8"/>
      <c r="D38" s="11"/>
      <c r="E38" s="12"/>
      <c r="F38" s="6"/>
      <c r="G38" s="3"/>
      <c r="H38" s="3"/>
    </row>
    <row r="39" spans="1:8">
      <c r="A39" s="33"/>
      <c r="B39" s="6"/>
      <c r="C39" s="8"/>
      <c r="D39" s="11"/>
      <c r="E39" s="12"/>
      <c r="F39" s="6"/>
      <c r="G39" s="3"/>
      <c r="H39" s="3"/>
    </row>
    <row r="40" spans="1:8">
      <c r="A40" s="35"/>
      <c r="B40" s="6"/>
      <c r="C40" s="6"/>
      <c r="D40" s="11"/>
      <c r="E40" s="12"/>
      <c r="F40" s="6"/>
      <c r="G40" s="3"/>
      <c r="H40" s="3"/>
    </row>
    <row r="41" spans="1:8">
      <c r="A41" s="35"/>
      <c r="B41" s="6"/>
      <c r="C41" s="6"/>
      <c r="D41" s="11"/>
      <c r="E41" s="12"/>
      <c r="F41" s="6"/>
      <c r="G41" s="3"/>
      <c r="H41" s="3"/>
    </row>
    <row r="42" spans="1:8">
      <c r="A42" s="35"/>
      <c r="B42" s="6"/>
      <c r="C42" s="6"/>
      <c r="D42" s="11"/>
      <c r="E42" s="12"/>
      <c r="F42" s="6"/>
      <c r="G42" s="3"/>
      <c r="H42" s="3"/>
    </row>
    <row r="43" spans="1:8">
      <c r="A43" s="6"/>
      <c r="B43" s="6"/>
      <c r="C43" s="6"/>
      <c r="D43" s="11"/>
      <c r="E43" s="12"/>
      <c r="F43" s="6"/>
      <c r="G43" s="3"/>
      <c r="H43" s="3"/>
    </row>
    <row r="44" spans="1:8">
      <c r="A44" s="6"/>
      <c r="B44" s="6"/>
      <c r="C44" s="6"/>
      <c r="D44" s="11"/>
      <c r="E44" s="12"/>
      <c r="F44" s="6"/>
      <c r="G44" s="3"/>
      <c r="H44" s="3"/>
    </row>
    <row r="45" spans="1:8">
      <c r="A45" s="6"/>
      <c r="B45" s="6"/>
      <c r="C45" s="6"/>
      <c r="D45" s="11"/>
      <c r="E45" s="12"/>
      <c r="F45" s="6"/>
      <c r="G45" s="3"/>
      <c r="H45" s="3"/>
    </row>
    <row r="46" spans="1:8">
      <c r="A46" s="6"/>
      <c r="B46" s="6"/>
      <c r="C46" s="17"/>
      <c r="D46" s="11"/>
      <c r="E46" s="12"/>
      <c r="F46" s="6"/>
      <c r="G46" s="3"/>
      <c r="H46" s="3"/>
    </row>
    <row r="47" spans="1:8">
      <c r="A47" s="6"/>
      <c r="B47" s="6"/>
      <c r="C47" s="17"/>
      <c r="D47" s="11"/>
      <c r="E47" s="7"/>
      <c r="F47" s="6"/>
      <c r="G47" s="3"/>
      <c r="H47" s="3"/>
    </row>
    <row r="48" spans="1:8">
      <c r="A48" s="7"/>
      <c r="B48" s="6"/>
      <c r="C48" s="17"/>
      <c r="D48" s="11"/>
      <c r="E48" s="7"/>
      <c r="F48" s="6"/>
      <c r="G48" s="3"/>
      <c r="H48" s="3"/>
    </row>
    <row r="49" spans="1:8">
      <c r="A49" s="7"/>
      <c r="B49" s="6"/>
      <c r="C49" s="17"/>
      <c r="D49" s="11"/>
      <c r="E49" s="7"/>
      <c r="F49" s="6"/>
      <c r="G49" s="3"/>
      <c r="H49" s="3"/>
    </row>
    <row r="50" spans="1:8">
      <c r="A50" s="7"/>
      <c r="B50" s="6"/>
      <c r="C50" s="17"/>
      <c r="D50" s="11"/>
      <c r="E50" s="3"/>
      <c r="F50" s="6"/>
      <c r="G50" s="3"/>
      <c r="H50" s="3"/>
    </row>
    <row r="51" spans="1:8">
      <c r="A51" s="7"/>
      <c r="B51" s="6"/>
      <c r="C51" s="17"/>
      <c r="D51" s="6"/>
      <c r="E51" s="3"/>
      <c r="F51" s="6"/>
      <c r="G51" s="3"/>
      <c r="H51" s="3"/>
    </row>
  </sheetData>
  <pageMargins left="0.51181102362204722" right="0.51181102362204722" top="0.55118110236220474" bottom="0.55118110236220474" header="0.31496062992125984" footer="0.31496062992125984"/>
  <pageSetup scale="66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view="pageBreakPreview" zoomScale="50" zoomScaleNormal="120" zoomScaleSheetLayoutView="50" workbookViewId="0">
      <selection sqref="A1:XFD1048576"/>
    </sheetView>
  </sheetViews>
  <sheetFormatPr baseColWidth="10" defaultColWidth="26.140625" defaultRowHeight="22.5"/>
  <cols>
    <col min="1" max="1" width="28.28515625" style="71" customWidth="1"/>
    <col min="2" max="2" width="68.28515625" style="70" customWidth="1"/>
    <col min="3" max="3" width="30.85546875" style="64" customWidth="1"/>
    <col min="4" max="4" width="29.28515625" style="70" customWidth="1"/>
    <col min="5" max="5" width="37.42578125" style="62" customWidth="1"/>
    <col min="6" max="6" width="39.140625" style="70" customWidth="1"/>
    <col min="7" max="16384" width="26.140625" style="62"/>
  </cols>
  <sheetData>
    <row r="1" spans="1:9" ht="46.5">
      <c r="A1" s="540" t="s">
        <v>773</v>
      </c>
      <c r="B1" s="540"/>
      <c r="C1" s="540"/>
      <c r="D1" s="540"/>
      <c r="E1" s="540"/>
      <c r="F1" s="540"/>
    </row>
    <row r="2" spans="1:9" ht="46.5">
      <c r="A2" s="506"/>
      <c r="B2" s="506"/>
      <c r="C2" s="506"/>
      <c r="D2" s="506"/>
      <c r="E2" s="506"/>
      <c r="F2" s="506"/>
    </row>
    <row r="3" spans="1:9" ht="46.5">
      <c r="A3" s="506"/>
      <c r="B3" s="506"/>
      <c r="C3" s="506"/>
      <c r="D3" s="506"/>
      <c r="E3" s="506"/>
      <c r="F3" s="506"/>
    </row>
    <row r="4" spans="1:9" s="69" customFormat="1" ht="79.5">
      <c r="A4" s="332" t="s">
        <v>69</v>
      </c>
      <c r="B4" s="332" t="s">
        <v>539</v>
      </c>
      <c r="C4" s="332" t="s">
        <v>4</v>
      </c>
      <c r="D4" s="332" t="s">
        <v>21</v>
      </c>
      <c r="E4" s="332" t="s">
        <v>5</v>
      </c>
      <c r="F4" s="332" t="s">
        <v>1</v>
      </c>
    </row>
    <row r="5" spans="1:9" ht="165" customHeight="1">
      <c r="A5" s="507" t="s">
        <v>821</v>
      </c>
      <c r="B5" s="508" t="s">
        <v>259</v>
      </c>
      <c r="C5" s="349" t="s">
        <v>260</v>
      </c>
      <c r="D5" s="350">
        <v>46120</v>
      </c>
      <c r="E5" s="509">
        <v>360000</v>
      </c>
      <c r="F5" s="349"/>
    </row>
    <row r="6" spans="1:9" ht="159" customHeight="1">
      <c r="A6" s="507" t="s">
        <v>261</v>
      </c>
      <c r="B6" s="508" t="s">
        <v>565</v>
      </c>
      <c r="C6" s="349" t="s">
        <v>260</v>
      </c>
      <c r="D6" s="350">
        <v>46210</v>
      </c>
      <c r="E6" s="509">
        <v>360000</v>
      </c>
      <c r="F6" s="349"/>
    </row>
    <row r="7" spans="1:9" ht="37.5">
      <c r="A7" s="507"/>
      <c r="B7" s="508"/>
      <c r="C7" s="349"/>
      <c r="D7" s="350"/>
      <c r="E7" s="436"/>
      <c r="F7" s="349"/>
    </row>
    <row r="8" spans="1:9" ht="37.5">
      <c r="A8" s="507"/>
      <c r="B8" s="508"/>
      <c r="C8" s="349"/>
      <c r="D8" s="350"/>
      <c r="E8" s="436"/>
      <c r="F8" s="349"/>
      <c r="I8" s="62">
        <f>65000*3</f>
        <v>195000</v>
      </c>
    </row>
    <row r="9" spans="1:9" s="77" customFormat="1" ht="37.5">
      <c r="A9" s="507"/>
      <c r="B9" s="508"/>
      <c r="C9" s="510"/>
      <c r="D9" s="511"/>
      <c r="E9" s="436">
        <f>SUM(E5:E8)</f>
        <v>720000</v>
      </c>
      <c r="F9" s="512"/>
    </row>
    <row r="10" spans="1:9" s="77" customFormat="1" ht="34.5">
      <c r="A10" s="343"/>
      <c r="B10" s="242"/>
      <c r="C10" s="258"/>
      <c r="D10" s="243"/>
      <c r="E10" s="344"/>
      <c r="F10" s="345"/>
    </row>
    <row r="11" spans="1:9" ht="34.5">
      <c r="A11" s="335"/>
      <c r="B11" s="334"/>
      <c r="C11" s="336"/>
      <c r="D11" s="334"/>
      <c r="E11" s="337"/>
      <c r="F11" s="334"/>
    </row>
    <row r="12" spans="1:9">
      <c r="A12" s="63"/>
    </row>
  </sheetData>
  <mergeCells count="1">
    <mergeCell ref="A1:F1"/>
  </mergeCells>
  <pageMargins left="0.25" right="0.25" top="0.75" bottom="0.75" header="0.3" footer="0.3"/>
  <pageSetup scale="38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view="pageBreakPreview" zoomScale="40" zoomScaleNormal="120" zoomScaleSheetLayoutView="40" workbookViewId="0">
      <selection activeCell="A2" sqref="A2:G2"/>
    </sheetView>
  </sheetViews>
  <sheetFormatPr baseColWidth="10" defaultRowHeight="31.5"/>
  <cols>
    <col min="1" max="1" width="28.42578125" style="220" customWidth="1"/>
    <col min="2" max="2" width="32.42578125" style="187" customWidth="1"/>
    <col min="3" max="3" width="30.42578125" style="186" customWidth="1"/>
    <col min="4" max="4" width="25.42578125" style="187" customWidth="1"/>
    <col min="5" max="5" width="33.5703125" style="185" customWidth="1"/>
    <col min="6" max="6" width="31.5703125" style="185" customWidth="1"/>
    <col min="7" max="7" width="33.42578125" style="185" customWidth="1"/>
    <col min="8" max="16384" width="11.42578125" style="185"/>
  </cols>
  <sheetData>
    <row r="2" spans="1:7" ht="44.25">
      <c r="A2" s="552" t="s">
        <v>774</v>
      </c>
      <c r="B2" s="552"/>
      <c r="C2" s="552"/>
      <c r="D2" s="552"/>
      <c r="E2" s="552"/>
      <c r="F2" s="552"/>
      <c r="G2" s="552"/>
    </row>
    <row r="3" spans="1:7">
      <c r="B3" s="187" t="s">
        <v>2</v>
      </c>
    </row>
    <row r="4" spans="1:7" ht="73.5">
      <c r="A4" s="190" t="s">
        <v>69</v>
      </c>
      <c r="B4" s="190" t="s">
        <v>3</v>
      </c>
      <c r="C4" s="190" t="s">
        <v>4</v>
      </c>
      <c r="D4" s="190" t="s">
        <v>21</v>
      </c>
      <c r="E4" s="190" t="s">
        <v>5</v>
      </c>
      <c r="F4" s="190" t="s">
        <v>1</v>
      </c>
      <c r="G4" s="190" t="s">
        <v>7</v>
      </c>
    </row>
    <row r="5" spans="1:7" ht="138">
      <c r="A5" s="343" t="s">
        <v>264</v>
      </c>
      <c r="B5" s="242" t="s">
        <v>262</v>
      </c>
      <c r="C5" s="180" t="s">
        <v>266</v>
      </c>
      <c r="D5" s="333">
        <v>45981</v>
      </c>
      <c r="E5" s="344">
        <v>235625</v>
      </c>
      <c r="F5" s="180"/>
      <c r="G5" s="180"/>
    </row>
    <row r="6" spans="1:7" ht="138">
      <c r="A6" s="343" t="s">
        <v>264</v>
      </c>
      <c r="B6" s="242" t="s">
        <v>265</v>
      </c>
      <c r="C6" s="180" t="s">
        <v>266</v>
      </c>
      <c r="D6" s="333">
        <v>45981</v>
      </c>
      <c r="E6" s="344">
        <v>360000</v>
      </c>
      <c r="F6" s="180"/>
      <c r="G6" s="180"/>
    </row>
    <row r="7" spans="1:7" ht="34.5">
      <c r="A7" s="343"/>
      <c r="B7" s="242"/>
      <c r="C7" s="180"/>
      <c r="D7" s="333"/>
      <c r="E7" s="344"/>
      <c r="F7" s="180"/>
      <c r="G7" s="180"/>
    </row>
    <row r="8" spans="1:7" ht="34.5">
      <c r="A8" s="343"/>
      <c r="B8" s="242"/>
      <c r="C8" s="180"/>
      <c r="D8" s="333"/>
      <c r="E8" s="344"/>
      <c r="F8" s="180"/>
      <c r="G8" s="180"/>
    </row>
    <row r="9" spans="1:7" s="233" customFormat="1" ht="34.5">
      <c r="A9" s="343"/>
      <c r="B9" s="242"/>
      <c r="C9" s="258"/>
      <c r="D9" s="243"/>
      <c r="E9" s="232">
        <f>SUM(E5:E8)</f>
        <v>595625</v>
      </c>
      <c r="F9" s="244"/>
      <c r="G9" s="346"/>
    </row>
    <row r="10" spans="1:7" s="233" customFormat="1" ht="34.5">
      <c r="A10" s="343"/>
      <c r="B10" s="242"/>
      <c r="C10" s="258"/>
      <c r="D10" s="243"/>
      <c r="E10" s="344"/>
      <c r="F10" s="244"/>
      <c r="G10" s="346"/>
    </row>
    <row r="11" spans="1:7" s="233" customFormat="1">
      <c r="A11" s="223"/>
      <c r="B11" s="225"/>
      <c r="C11" s="253"/>
      <c r="D11" s="200"/>
      <c r="E11" s="204"/>
      <c r="F11" s="202"/>
      <c r="G11" s="202"/>
    </row>
    <row r="12" spans="1:7" s="233" customFormat="1">
      <c r="A12" s="223"/>
      <c r="B12" s="225"/>
      <c r="C12" s="253"/>
      <c r="D12" s="200"/>
      <c r="E12" s="204"/>
      <c r="F12" s="202"/>
      <c r="G12" s="202"/>
    </row>
    <row r="13" spans="1:7" s="233" customFormat="1">
      <c r="A13" s="223"/>
      <c r="B13" s="225"/>
      <c r="C13" s="253"/>
      <c r="D13" s="200"/>
      <c r="E13" s="204"/>
      <c r="F13" s="202"/>
      <c r="G13" s="202"/>
    </row>
  </sheetData>
  <mergeCells count="1">
    <mergeCell ref="A2:G2"/>
  </mergeCells>
  <pageMargins left="0.25" right="0.25" top="0.75" bottom="0.75" header="0.3" footer="0.3"/>
  <pageSetup scale="44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view="pageBreakPreview" zoomScale="50" zoomScaleNormal="120" zoomScaleSheetLayoutView="50" workbookViewId="0">
      <selection sqref="A1:XFD1048576"/>
    </sheetView>
  </sheetViews>
  <sheetFormatPr baseColWidth="10" defaultRowHeight="15.75"/>
  <cols>
    <col min="1" max="1" width="27.85546875" style="19" customWidth="1"/>
    <col min="2" max="2" width="35.28515625" style="10" customWidth="1"/>
    <col min="3" max="3" width="39.5703125" style="4" bestFit="1" customWidth="1"/>
    <col min="4" max="4" width="30.42578125" style="10" customWidth="1"/>
    <col min="5" max="5" width="37.85546875" style="1" customWidth="1"/>
    <col min="6" max="6" width="28.5703125" style="10" customWidth="1"/>
    <col min="7" max="7" width="24.42578125" style="1" customWidth="1"/>
    <col min="8" max="8" width="29.5703125" style="1" customWidth="1"/>
    <col min="9" max="16384" width="11.42578125" style="1"/>
  </cols>
  <sheetData>
    <row r="1" spans="1:8" s="352" customFormat="1" ht="54.75">
      <c r="A1" s="539" t="s">
        <v>761</v>
      </c>
      <c r="B1" s="539"/>
      <c r="C1" s="539"/>
      <c r="D1" s="539"/>
      <c r="E1" s="539"/>
      <c r="F1" s="539"/>
      <c r="G1" s="539"/>
      <c r="H1" s="539"/>
    </row>
    <row r="2" spans="1:8">
      <c r="A2" s="18"/>
      <c r="B2" s="14"/>
    </row>
    <row r="3" spans="1:8">
      <c r="B3" s="10" t="s">
        <v>2</v>
      </c>
    </row>
    <row r="4" spans="1:8" s="353" customFormat="1" ht="73.5">
      <c r="A4" s="190" t="s">
        <v>69</v>
      </c>
      <c r="B4" s="190" t="s">
        <v>3</v>
      </c>
      <c r="C4" s="190" t="s">
        <v>4</v>
      </c>
      <c r="D4" s="190" t="s">
        <v>21</v>
      </c>
      <c r="E4" s="190" t="s">
        <v>5</v>
      </c>
      <c r="F4" s="190" t="s">
        <v>16</v>
      </c>
      <c r="G4" s="190" t="s">
        <v>1</v>
      </c>
      <c r="H4" s="190" t="s">
        <v>7</v>
      </c>
    </row>
    <row r="5" spans="1:8" ht="94.5">
      <c r="A5" s="223" t="s">
        <v>267</v>
      </c>
      <c r="B5" s="225" t="s">
        <v>268</v>
      </c>
      <c r="C5" s="171" t="s">
        <v>270</v>
      </c>
      <c r="D5" s="235">
        <v>46163</v>
      </c>
      <c r="E5" s="204">
        <v>80000</v>
      </c>
      <c r="F5" s="171"/>
      <c r="G5" s="171"/>
      <c r="H5" s="171"/>
    </row>
    <row r="6" spans="1:8" ht="94.5">
      <c r="A6" s="223" t="s">
        <v>269</v>
      </c>
      <c r="B6" s="225" t="s">
        <v>502</v>
      </c>
      <c r="C6" s="171" t="s">
        <v>271</v>
      </c>
      <c r="D6" s="235">
        <v>46141</v>
      </c>
      <c r="E6" s="204">
        <v>993000</v>
      </c>
      <c r="F6" s="171" t="s">
        <v>263</v>
      </c>
      <c r="G6" s="171"/>
      <c r="H6" s="171"/>
    </row>
    <row r="7" spans="1:8" ht="94.5">
      <c r="A7" s="223" t="s">
        <v>272</v>
      </c>
      <c r="B7" s="225" t="s">
        <v>503</v>
      </c>
      <c r="C7" s="171" t="s">
        <v>270</v>
      </c>
      <c r="D7" s="235">
        <v>46147</v>
      </c>
      <c r="E7" s="204">
        <v>100000</v>
      </c>
      <c r="F7" s="171"/>
      <c r="G7" s="171"/>
      <c r="H7" s="171"/>
    </row>
    <row r="8" spans="1:8" ht="94.5">
      <c r="A8" s="223"/>
      <c r="B8" s="555" t="s">
        <v>275</v>
      </c>
      <c r="C8" s="171" t="s">
        <v>274</v>
      </c>
      <c r="D8" s="548">
        <v>46163</v>
      </c>
      <c r="E8" s="553">
        <v>290000</v>
      </c>
      <c r="F8" s="171"/>
      <c r="G8" s="171"/>
      <c r="H8" s="171"/>
    </row>
    <row r="9" spans="1:8" s="23" customFormat="1" ht="94.5">
      <c r="A9" s="223"/>
      <c r="B9" s="556"/>
      <c r="C9" s="171" t="s">
        <v>276</v>
      </c>
      <c r="D9" s="549"/>
      <c r="E9" s="554"/>
      <c r="F9" s="317"/>
      <c r="G9" s="202"/>
      <c r="H9" s="274"/>
    </row>
    <row r="10" spans="1:8" s="23" customFormat="1" ht="94.5">
      <c r="A10" s="223"/>
      <c r="B10" s="225" t="s">
        <v>500</v>
      </c>
      <c r="C10" s="171" t="s">
        <v>501</v>
      </c>
      <c r="D10" s="200">
        <v>46233</v>
      </c>
      <c r="E10" s="204">
        <v>290000</v>
      </c>
      <c r="F10" s="317"/>
      <c r="G10" s="202"/>
      <c r="H10" s="274"/>
    </row>
    <row r="11" spans="1:8" s="23" customFormat="1" ht="94.5">
      <c r="A11" s="223" t="s">
        <v>550</v>
      </c>
      <c r="B11" s="225" t="s">
        <v>513</v>
      </c>
      <c r="C11" s="171" t="s">
        <v>514</v>
      </c>
      <c r="D11" s="200">
        <v>46234</v>
      </c>
      <c r="E11" s="204">
        <v>160000</v>
      </c>
      <c r="F11" s="317"/>
      <c r="G11" s="202"/>
      <c r="H11" s="202"/>
    </row>
    <row r="12" spans="1:8" s="23" customFormat="1" ht="94.5">
      <c r="A12" s="223"/>
      <c r="B12" s="225" t="s">
        <v>566</v>
      </c>
      <c r="C12" s="171" t="s">
        <v>567</v>
      </c>
      <c r="D12" s="200">
        <v>46246</v>
      </c>
      <c r="E12" s="204">
        <v>190000</v>
      </c>
      <c r="F12" s="171" t="s">
        <v>263</v>
      </c>
      <c r="G12" s="202"/>
      <c r="H12" s="202"/>
    </row>
    <row r="13" spans="1:8" s="23" customFormat="1" ht="31.5">
      <c r="A13" s="223"/>
      <c r="B13" s="225"/>
      <c r="C13" s="253"/>
      <c r="D13" s="200"/>
      <c r="E13" s="204"/>
      <c r="F13" s="351"/>
      <c r="G13" s="202"/>
      <c r="H13" s="202"/>
    </row>
    <row r="14" spans="1:8" s="23" customFormat="1" ht="31.5">
      <c r="A14" s="223"/>
      <c r="B14" s="225"/>
      <c r="C14" s="253"/>
      <c r="D14" s="200"/>
      <c r="E14" s="226">
        <f>SUM(E5:E13)</f>
        <v>2103000</v>
      </c>
      <c r="F14" s="317"/>
      <c r="G14" s="202"/>
      <c r="H14" s="202"/>
    </row>
    <row r="16" spans="1:8" s="185" customFormat="1" ht="31.5">
      <c r="A16" s="220"/>
      <c r="B16" s="187"/>
      <c r="C16" s="186"/>
      <c r="D16" s="187"/>
      <c r="F16" s="187"/>
    </row>
    <row r="17" spans="1:8" s="440" customFormat="1" ht="31.5">
      <c r="A17" s="281" t="s">
        <v>775</v>
      </c>
      <c r="B17" s="438"/>
      <c r="C17" s="439"/>
      <c r="D17" s="438"/>
    </row>
    <row r="18" spans="1:8" s="185" customFormat="1" ht="31.5">
      <c r="A18" s="220"/>
      <c r="B18" s="187"/>
      <c r="C18" s="186"/>
      <c r="D18" s="187"/>
    </row>
    <row r="19" spans="1:8" s="185" customFormat="1" ht="73.5">
      <c r="A19" s="190" t="s">
        <v>69</v>
      </c>
      <c r="B19" s="190" t="s">
        <v>3</v>
      </c>
      <c r="C19" s="190" t="s">
        <v>4</v>
      </c>
      <c r="D19" s="190" t="s">
        <v>21</v>
      </c>
      <c r="E19" s="190" t="s">
        <v>5</v>
      </c>
      <c r="F19" s="190" t="s">
        <v>16</v>
      </c>
      <c r="G19" s="190" t="s">
        <v>1</v>
      </c>
      <c r="H19" s="190" t="s">
        <v>7</v>
      </c>
    </row>
    <row r="20" spans="1:8" s="185" customFormat="1" ht="94.5">
      <c r="A20" s="223" t="s">
        <v>811</v>
      </c>
      <c r="B20" s="225" t="s">
        <v>812</v>
      </c>
      <c r="C20" s="171" t="s">
        <v>270</v>
      </c>
      <c r="D20" s="235">
        <v>46258</v>
      </c>
      <c r="E20" s="204">
        <v>100000</v>
      </c>
      <c r="F20" s="171"/>
      <c r="G20" s="171"/>
      <c r="H20" s="171"/>
    </row>
    <row r="21" spans="1:8" s="185" customFormat="1" ht="31.5">
      <c r="A21" s="220"/>
      <c r="B21" s="187"/>
      <c r="C21" s="186"/>
      <c r="D21" s="187"/>
      <c r="F21" s="187"/>
    </row>
    <row r="22" spans="1:8" s="185" customFormat="1" ht="31.5">
      <c r="A22" s="220"/>
      <c r="B22" s="187"/>
      <c r="C22" s="186"/>
      <c r="D22" s="187"/>
      <c r="F22" s="187"/>
    </row>
    <row r="23" spans="1:8" s="185" customFormat="1" ht="31.5">
      <c r="A23" s="220"/>
      <c r="B23" s="187"/>
      <c r="C23" s="186"/>
      <c r="D23" s="187"/>
      <c r="F23" s="187"/>
    </row>
  </sheetData>
  <mergeCells count="4">
    <mergeCell ref="E8:E9"/>
    <mergeCell ref="B8:B9"/>
    <mergeCell ref="D8:D9"/>
    <mergeCell ref="A1:H1"/>
  </mergeCells>
  <pageMargins left="0.25" right="0.25" top="0.75" bottom="0.75" header="0.3" footer="0.3"/>
  <pageSetup scale="3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view="pageBreakPreview" zoomScale="70" zoomScaleNormal="120" zoomScaleSheetLayoutView="70" workbookViewId="0">
      <selection activeCell="B5" sqref="B5"/>
    </sheetView>
  </sheetViews>
  <sheetFormatPr baseColWidth="10" defaultRowHeight="18.75"/>
  <cols>
    <col min="1" max="1" width="7.7109375" style="42" customWidth="1"/>
    <col min="2" max="2" width="19" style="43" customWidth="1"/>
    <col min="3" max="3" width="29.140625" style="42" customWidth="1"/>
    <col min="4" max="4" width="33.140625" style="153" customWidth="1"/>
    <col min="5" max="5" width="26.42578125" style="42" customWidth="1"/>
    <col min="6" max="6" width="38.7109375" style="38" customWidth="1"/>
    <col min="7" max="7" width="21.7109375" style="38" customWidth="1"/>
    <col min="8" max="8" width="28.5703125" style="38" customWidth="1"/>
    <col min="9" max="16384" width="11.42578125" style="38"/>
  </cols>
  <sheetData>
    <row r="1" spans="1:8" s="98" customFormat="1" ht="21.75">
      <c r="A1" s="152"/>
      <c r="B1" s="126"/>
      <c r="C1" s="152" t="s">
        <v>2</v>
      </c>
      <c r="D1" s="45"/>
      <c r="E1" s="152"/>
    </row>
    <row r="2" spans="1:8" s="98" customFormat="1" ht="46.5">
      <c r="A2" s="540" t="s">
        <v>645</v>
      </c>
      <c r="B2" s="540"/>
      <c r="C2" s="540"/>
      <c r="D2" s="540"/>
      <c r="E2" s="540"/>
      <c r="F2" s="540"/>
      <c r="G2" s="540"/>
      <c r="H2" s="540"/>
    </row>
    <row r="3" spans="1:8" s="98" customFormat="1" ht="21.75">
      <c r="A3" s="152"/>
      <c r="B3" s="126"/>
      <c r="C3" s="152"/>
      <c r="D3" s="45"/>
      <c r="E3" s="152"/>
    </row>
    <row r="4" spans="1:8" s="98" customFormat="1" ht="21.75">
      <c r="A4" s="152"/>
      <c r="B4" s="126"/>
      <c r="C4" s="152" t="s">
        <v>2</v>
      </c>
      <c r="D4" s="45"/>
      <c r="E4" s="152"/>
    </row>
    <row r="5" spans="1:8" s="98" customFormat="1" ht="67.5">
      <c r="A5" s="189" t="s">
        <v>0</v>
      </c>
      <c r="B5" s="189" t="s">
        <v>69</v>
      </c>
      <c r="C5" s="189" t="s">
        <v>587</v>
      </c>
      <c r="D5" s="189" t="s">
        <v>4</v>
      </c>
      <c r="E5" s="189" t="s">
        <v>21</v>
      </c>
      <c r="F5" s="189" t="s">
        <v>5</v>
      </c>
      <c r="G5" s="189" t="s">
        <v>1</v>
      </c>
      <c r="H5" s="189" t="s">
        <v>7</v>
      </c>
    </row>
    <row r="6" spans="1:8" s="51" customFormat="1" ht="220.5">
      <c r="A6" s="171"/>
      <c r="B6" s="223" t="s">
        <v>277</v>
      </c>
      <c r="C6" s="225" t="s">
        <v>278</v>
      </c>
      <c r="D6" s="171" t="s">
        <v>279</v>
      </c>
      <c r="E6" s="235">
        <v>46147</v>
      </c>
      <c r="F6" s="204">
        <v>9950000</v>
      </c>
      <c r="G6" s="171"/>
      <c r="H6" s="171"/>
    </row>
    <row r="7" spans="1:8" s="51" customFormat="1" ht="220.5">
      <c r="A7" s="171"/>
      <c r="B7" s="223" t="s">
        <v>277</v>
      </c>
      <c r="C7" s="225" t="s">
        <v>278</v>
      </c>
      <c r="D7" s="171" t="s">
        <v>279</v>
      </c>
      <c r="E7" s="235">
        <v>46147</v>
      </c>
      <c r="F7" s="204">
        <v>7350000</v>
      </c>
      <c r="G7" s="171"/>
      <c r="H7" s="171"/>
    </row>
    <row r="8" spans="1:8" s="51" customFormat="1" ht="31.5" customHeight="1">
      <c r="A8" s="171"/>
      <c r="B8" s="223"/>
      <c r="C8" s="225"/>
      <c r="D8" s="171"/>
      <c r="E8" s="235"/>
      <c r="F8" s="204"/>
      <c r="G8" s="171"/>
      <c r="H8" s="171"/>
    </row>
    <row r="9" spans="1:8" s="51" customFormat="1" ht="31.5">
      <c r="A9" s="187"/>
      <c r="B9" s="220"/>
      <c r="C9" s="187"/>
      <c r="D9" s="186"/>
      <c r="E9" s="187"/>
      <c r="F9" s="185"/>
      <c r="G9" s="185"/>
      <c r="H9" s="185"/>
    </row>
    <row r="10" spans="1:8" s="51" customFormat="1" ht="31.5">
      <c r="A10" s="187"/>
      <c r="B10" s="220"/>
      <c r="C10" s="187"/>
      <c r="D10" s="186"/>
      <c r="E10" s="187"/>
      <c r="F10" s="188">
        <f>SUM(F6:F9)</f>
        <v>17300000</v>
      </c>
      <c r="G10" s="185"/>
      <c r="H10" s="185"/>
    </row>
  </sheetData>
  <mergeCells count="1">
    <mergeCell ref="A2:H2"/>
  </mergeCells>
  <pageMargins left="0.51181102362204722" right="0.51181102362204722" top="0.55118110236220474" bottom="0.55118110236220474" header="0.31496062992125984" footer="0.31496062992125984"/>
  <pageSetup scale="46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view="pageBreakPreview" zoomScale="70" zoomScaleNormal="120" zoomScaleSheetLayoutView="70" workbookViewId="0">
      <selection activeCell="F11" sqref="F11"/>
    </sheetView>
  </sheetViews>
  <sheetFormatPr baseColWidth="10" defaultRowHeight="18"/>
  <cols>
    <col min="1" max="1" width="28.42578125" style="104" customWidth="1"/>
    <col min="2" max="2" width="38.28515625" style="47" customWidth="1"/>
    <col min="3" max="3" width="33.28515625" style="46" customWidth="1"/>
    <col min="4" max="4" width="27.7109375" style="47" customWidth="1"/>
    <col min="5" max="5" width="30.85546875" style="48" customWidth="1"/>
    <col min="6" max="6" width="23.42578125" style="48" customWidth="1"/>
    <col min="7" max="7" width="34.42578125" style="48" customWidth="1"/>
    <col min="8" max="16384" width="11.42578125" style="48"/>
  </cols>
  <sheetData>
    <row r="1" spans="1:7" s="117" customFormat="1" ht="43.5">
      <c r="A1" s="541" t="s">
        <v>776</v>
      </c>
      <c r="B1" s="541"/>
      <c r="C1" s="541"/>
      <c r="D1" s="541"/>
      <c r="E1" s="541"/>
      <c r="F1" s="541"/>
      <c r="G1" s="541"/>
    </row>
    <row r="2" spans="1:7" s="117" customFormat="1" ht="43.5">
      <c r="A2" s="293"/>
      <c r="B2" s="293"/>
      <c r="C2" s="293"/>
      <c r="D2" s="293"/>
      <c r="E2" s="293"/>
      <c r="F2" s="293"/>
      <c r="G2" s="293"/>
    </row>
    <row r="3" spans="1:7" s="117" customFormat="1" ht="73.5">
      <c r="A3" s="190" t="s">
        <v>69</v>
      </c>
      <c r="B3" s="190" t="s">
        <v>3</v>
      </c>
      <c r="C3" s="190" t="s">
        <v>4</v>
      </c>
      <c r="D3" s="190" t="s">
        <v>21</v>
      </c>
      <c r="E3" s="190" t="s">
        <v>5</v>
      </c>
      <c r="F3" s="190" t="s">
        <v>1</v>
      </c>
      <c r="G3" s="190" t="s">
        <v>7</v>
      </c>
    </row>
    <row r="4" spans="1:7" s="185" customFormat="1" ht="94.5">
      <c r="A4" s="223" t="s">
        <v>280</v>
      </c>
      <c r="B4" s="225" t="s">
        <v>281</v>
      </c>
      <c r="C4" s="171" t="s">
        <v>237</v>
      </c>
      <c r="D4" s="235">
        <v>46147</v>
      </c>
      <c r="E4" s="204">
        <v>60000</v>
      </c>
      <c r="F4" s="171"/>
      <c r="G4" s="171"/>
    </row>
    <row r="5" spans="1:7" s="185" customFormat="1" ht="31.5" customHeight="1">
      <c r="A5" s="223"/>
      <c r="B5" s="225"/>
      <c r="C5" s="171"/>
      <c r="D5" s="235"/>
      <c r="E5" s="204"/>
      <c r="F5" s="171"/>
      <c r="G5" s="171"/>
    </row>
    <row r="6" spans="1:7" s="233" customFormat="1" ht="31.5">
      <c r="A6" s="223"/>
      <c r="B6" s="225"/>
      <c r="C6" s="253"/>
      <c r="D6" s="200"/>
      <c r="E6" s="226">
        <f>SUM(E4:E5)</f>
        <v>60000</v>
      </c>
      <c r="F6" s="202"/>
      <c r="G6" s="274"/>
    </row>
  </sheetData>
  <mergeCells count="1">
    <mergeCell ref="A1:G1"/>
  </mergeCells>
  <pageMargins left="0.51181102362204722" right="0.51181102362204722" top="0.55118110236220474" bottom="0.55118110236220474" header="0.31496062992125984" footer="0.31496062992125984"/>
  <pageSetup scale="43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view="pageBreakPreview" zoomScale="60" zoomScaleNormal="120" workbookViewId="0">
      <selection activeCell="A2" sqref="A2:G2"/>
    </sheetView>
  </sheetViews>
  <sheetFormatPr baseColWidth="10" defaultRowHeight="31.5"/>
  <cols>
    <col min="1" max="1" width="19.85546875" style="220" customWidth="1"/>
    <col min="2" max="2" width="44.85546875" style="187" customWidth="1"/>
    <col min="3" max="3" width="51.5703125" style="186" customWidth="1"/>
    <col min="4" max="4" width="27.85546875" style="187" customWidth="1"/>
    <col min="5" max="5" width="41.5703125" style="185" bestFit="1" customWidth="1"/>
    <col min="6" max="6" width="26" style="185" customWidth="1"/>
    <col min="7" max="7" width="34.140625" style="185" customWidth="1"/>
    <col min="8" max="16384" width="11.42578125" style="185"/>
  </cols>
  <sheetData>
    <row r="2" spans="1:7" s="286" customFormat="1" ht="46.5">
      <c r="A2" s="557" t="s">
        <v>718</v>
      </c>
      <c r="B2" s="557"/>
      <c r="C2" s="557"/>
      <c r="D2" s="557"/>
      <c r="E2" s="557"/>
      <c r="F2" s="557"/>
      <c r="G2" s="557"/>
    </row>
    <row r="3" spans="1:7" s="286" customFormat="1" ht="36.75">
      <c r="A3" s="287"/>
      <c r="B3" s="285"/>
      <c r="C3" s="284"/>
      <c r="D3" s="285"/>
    </row>
    <row r="4" spans="1:7" s="286" customFormat="1" ht="36.75">
      <c r="A4" s="287"/>
      <c r="B4" s="285" t="s">
        <v>2</v>
      </c>
      <c r="C4" s="284"/>
      <c r="D4" s="285"/>
    </row>
    <row r="5" spans="1:7" s="286" customFormat="1" ht="73.5">
      <c r="A5" s="179" t="s">
        <v>69</v>
      </c>
      <c r="B5" s="179" t="s">
        <v>3</v>
      </c>
      <c r="C5" s="179" t="s">
        <v>4</v>
      </c>
      <c r="D5" s="179" t="s">
        <v>21</v>
      </c>
      <c r="E5" s="179" t="s">
        <v>5</v>
      </c>
      <c r="F5" s="179" t="s">
        <v>1</v>
      </c>
      <c r="G5" s="179" t="s">
        <v>7</v>
      </c>
    </row>
    <row r="6" spans="1:7" ht="103.5">
      <c r="A6" s="343"/>
      <c r="B6" s="242" t="s">
        <v>719</v>
      </c>
      <c r="C6" s="180" t="s">
        <v>282</v>
      </c>
      <c r="D6" s="333">
        <v>46129</v>
      </c>
      <c r="E6" s="344">
        <v>7585820</v>
      </c>
      <c r="F6" s="180" t="s">
        <v>709</v>
      </c>
      <c r="G6" s="180" t="s">
        <v>720</v>
      </c>
    </row>
    <row r="7" spans="1:7" ht="34.5">
      <c r="A7" s="343"/>
      <c r="B7" s="242"/>
      <c r="C7" s="180"/>
      <c r="D7" s="333"/>
      <c r="E7" s="344"/>
      <c r="F7" s="180"/>
      <c r="G7" s="180"/>
    </row>
    <row r="8" spans="1:7" s="233" customFormat="1" ht="34.5">
      <c r="A8" s="343"/>
      <c r="B8" s="242"/>
      <c r="C8" s="258"/>
      <c r="D8" s="243"/>
      <c r="E8" s="344"/>
      <c r="F8" s="244"/>
      <c r="G8" s="244"/>
    </row>
    <row r="9" spans="1:7" s="233" customFormat="1" ht="37.5">
      <c r="A9" s="343"/>
      <c r="B9" s="242"/>
      <c r="C9" s="258"/>
      <c r="D9" s="243"/>
      <c r="E9" s="436">
        <f>SUM(E6:E8)</f>
        <v>7585820</v>
      </c>
      <c r="F9" s="244"/>
      <c r="G9" s="244"/>
    </row>
    <row r="10" spans="1:7" s="233" customFormat="1">
      <c r="A10" s="223"/>
      <c r="B10" s="225"/>
      <c r="C10" s="253"/>
      <c r="D10" s="200"/>
      <c r="E10" s="204"/>
      <c r="F10" s="202"/>
      <c r="G10" s="202"/>
    </row>
    <row r="11" spans="1:7" s="233" customFormat="1">
      <c r="A11" s="223"/>
      <c r="B11" s="225"/>
      <c r="C11" s="253"/>
      <c r="D11" s="203"/>
      <c r="E11" s="204"/>
      <c r="F11" s="202"/>
      <c r="G11" s="202"/>
    </row>
    <row r="12" spans="1:7" s="233" customFormat="1">
      <c r="A12" s="223"/>
      <c r="B12" s="199"/>
      <c r="C12" s="253"/>
      <c r="D12" s="203"/>
      <c r="E12" s="205"/>
      <c r="F12" s="202"/>
      <c r="G12" s="202"/>
    </row>
  </sheetData>
  <mergeCells count="1">
    <mergeCell ref="A2:G2"/>
  </mergeCells>
  <pageMargins left="0.25" right="0.25" top="0.75" bottom="0.75" header="0.3" footer="0.3"/>
  <pageSetup scale="41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view="pageBreakPreview" topLeftCell="A6" zoomScale="90" zoomScaleNormal="120" zoomScaleSheetLayoutView="90" workbookViewId="0">
      <selection activeCell="J12" sqref="J12"/>
    </sheetView>
  </sheetViews>
  <sheetFormatPr baseColWidth="10" defaultRowHeight="15.75"/>
  <cols>
    <col min="1" max="1" width="15.42578125" style="19" customWidth="1"/>
    <col min="2" max="2" width="29.140625" style="10" customWidth="1"/>
    <col min="3" max="3" width="29.5703125" style="4" customWidth="1"/>
    <col min="4" max="4" width="15" style="10" customWidth="1"/>
    <col min="5" max="5" width="19.85546875" style="1" customWidth="1"/>
    <col min="6" max="6" width="28.5703125" style="10" customWidth="1"/>
    <col min="7" max="7" width="13.28515625" style="1" customWidth="1"/>
    <col min="8" max="8" width="18.5703125" style="1" customWidth="1"/>
    <col min="9" max="16384" width="11.42578125" style="1"/>
  </cols>
  <sheetData>
    <row r="2" spans="1:8">
      <c r="A2" s="18" t="s">
        <v>284</v>
      </c>
      <c r="B2" s="14"/>
    </row>
    <row r="3" spans="1:8">
      <c r="A3" s="18" t="s">
        <v>111</v>
      </c>
      <c r="B3" s="14"/>
    </row>
    <row r="4" spans="1:8">
      <c r="A4" s="18" t="s">
        <v>112</v>
      </c>
      <c r="B4" s="14"/>
    </row>
    <row r="5" spans="1:8">
      <c r="A5" s="18" t="s">
        <v>119</v>
      </c>
      <c r="B5" s="14"/>
    </row>
    <row r="6" spans="1:8">
      <c r="A6" s="18" t="s">
        <v>216</v>
      </c>
      <c r="B6" s="14"/>
    </row>
    <row r="7" spans="1:8">
      <c r="A7" s="18" t="s">
        <v>20</v>
      </c>
      <c r="B7" s="14"/>
      <c r="G7" s="1" t="s">
        <v>273</v>
      </c>
    </row>
    <row r="8" spans="1:8">
      <c r="C8" s="9"/>
    </row>
    <row r="9" spans="1:8">
      <c r="B9" s="10" t="s">
        <v>2</v>
      </c>
    </row>
    <row r="10" spans="1:8" ht="31.5">
      <c r="A10" s="2" t="s">
        <v>69</v>
      </c>
      <c r="B10" s="2" t="s">
        <v>3</v>
      </c>
      <c r="C10" s="2" t="s">
        <v>4</v>
      </c>
      <c r="D10" s="2" t="s">
        <v>21</v>
      </c>
      <c r="E10" s="2" t="s">
        <v>5</v>
      </c>
      <c r="F10" s="2" t="s">
        <v>16</v>
      </c>
      <c r="G10" s="2" t="s">
        <v>1</v>
      </c>
      <c r="H10" s="2" t="s">
        <v>7</v>
      </c>
    </row>
    <row r="11" spans="1:8">
      <c r="A11" s="36"/>
      <c r="B11" s="20"/>
      <c r="C11" s="8"/>
      <c r="D11" s="15"/>
      <c r="E11" s="22"/>
      <c r="F11" s="8"/>
      <c r="G11" s="8"/>
      <c r="H11" s="8"/>
    </row>
    <row r="12" spans="1:8" ht="31.5" customHeight="1">
      <c r="A12" s="36"/>
      <c r="B12" s="20"/>
      <c r="C12" s="8"/>
      <c r="D12" s="15"/>
      <c r="E12" s="22"/>
      <c r="F12" s="8"/>
      <c r="G12" s="8"/>
      <c r="H12" s="8"/>
    </row>
    <row r="13" spans="1:8" s="23" customFormat="1">
      <c r="A13" s="36"/>
      <c r="B13" s="20"/>
      <c r="C13" s="31"/>
      <c r="D13" s="21"/>
      <c r="E13" s="22"/>
      <c r="F13" s="27"/>
      <c r="G13" s="26"/>
      <c r="H13" s="26"/>
    </row>
    <row r="14" spans="1:8" s="23" customFormat="1">
      <c r="A14" s="36"/>
      <c r="B14" s="20"/>
      <c r="C14" s="31"/>
      <c r="D14" s="21"/>
      <c r="E14" s="22"/>
      <c r="F14" s="25"/>
      <c r="G14" s="26"/>
      <c r="H14" s="26"/>
    </row>
    <row r="15" spans="1:8" s="23" customFormat="1">
      <c r="A15" s="36"/>
      <c r="B15" s="20"/>
      <c r="C15" s="31"/>
      <c r="D15" s="21"/>
      <c r="E15" s="22"/>
      <c r="F15" s="25"/>
      <c r="G15" s="26"/>
      <c r="H15" s="26"/>
    </row>
  </sheetData>
  <pageMargins left="0.51181102362204722" right="0.51181102362204722" top="0.55118110236220474" bottom="0.55118110236220474" header="0.31496062992125984" footer="0.31496062992125984"/>
  <pageSetup scale="66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view="pageBreakPreview" zoomScale="70" zoomScaleNormal="120" zoomScaleSheetLayoutView="70" workbookViewId="0">
      <selection activeCell="C5" sqref="C5"/>
    </sheetView>
  </sheetViews>
  <sheetFormatPr baseColWidth="10" defaultRowHeight="31.5"/>
  <cols>
    <col min="1" max="1" width="24.28515625" style="220" customWidth="1"/>
    <col min="2" max="2" width="29.140625" style="187" customWidth="1"/>
    <col min="3" max="3" width="29.5703125" style="186" customWidth="1"/>
    <col min="4" max="4" width="25" style="187" customWidth="1"/>
    <col min="5" max="5" width="32.7109375" style="185" customWidth="1"/>
    <col min="6" max="6" width="28.5703125" style="187" customWidth="1"/>
    <col min="7" max="7" width="24.140625" style="185" customWidth="1"/>
    <col min="8" max="8" width="30.42578125" style="185" customWidth="1"/>
    <col min="9" max="16384" width="11.42578125" style="185"/>
  </cols>
  <sheetData>
    <row r="1" spans="1:8">
      <c r="A1" s="558" t="s">
        <v>777</v>
      </c>
      <c r="B1" s="558"/>
      <c r="C1" s="558"/>
      <c r="D1" s="558"/>
      <c r="E1" s="558"/>
      <c r="F1" s="558"/>
      <c r="G1" s="558"/>
      <c r="H1" s="558"/>
    </row>
    <row r="3" spans="1:8">
      <c r="B3" s="187" t="s">
        <v>2</v>
      </c>
    </row>
    <row r="4" spans="1:8" ht="63">
      <c r="A4" s="273" t="s">
        <v>69</v>
      </c>
      <c r="B4" s="273" t="s">
        <v>3</v>
      </c>
      <c r="C4" s="273" t="s">
        <v>4</v>
      </c>
      <c r="D4" s="273" t="s">
        <v>21</v>
      </c>
      <c r="E4" s="273" t="s">
        <v>5</v>
      </c>
      <c r="F4" s="273" t="s">
        <v>16</v>
      </c>
      <c r="G4" s="273" t="s">
        <v>1</v>
      </c>
      <c r="H4" s="273" t="s">
        <v>7</v>
      </c>
    </row>
    <row r="5" spans="1:8" ht="189">
      <c r="A5" s="223" t="s">
        <v>286</v>
      </c>
      <c r="B5" s="225" t="s">
        <v>285</v>
      </c>
      <c r="C5" s="171" t="s">
        <v>287</v>
      </c>
      <c r="D5" s="235">
        <v>46105</v>
      </c>
      <c r="E5" s="204">
        <v>135000</v>
      </c>
      <c r="F5" s="171" t="s">
        <v>288</v>
      </c>
      <c r="G5" s="171"/>
      <c r="H5" s="171"/>
    </row>
    <row r="6" spans="1:8">
      <c r="A6" s="223"/>
      <c r="B6" s="225"/>
      <c r="C6" s="171"/>
      <c r="D6" s="235"/>
      <c r="E6" s="204"/>
      <c r="F6" s="171"/>
      <c r="G6" s="171"/>
      <c r="H6" s="171"/>
    </row>
    <row r="7" spans="1:8" s="233" customFormat="1">
      <c r="A7" s="223"/>
      <c r="B7" s="225"/>
      <c r="C7" s="253"/>
      <c r="D7" s="200"/>
      <c r="E7" s="204"/>
      <c r="F7" s="351"/>
      <c r="G7" s="202"/>
      <c r="H7" s="202"/>
    </row>
    <row r="8" spans="1:8" s="233" customFormat="1">
      <c r="A8" s="223"/>
      <c r="B8" s="225"/>
      <c r="C8" s="253"/>
      <c r="D8" s="200"/>
      <c r="E8" s="204"/>
      <c r="F8" s="317"/>
      <c r="G8" s="202"/>
      <c r="H8" s="202"/>
    </row>
  </sheetData>
  <mergeCells count="1">
    <mergeCell ref="A1:H1"/>
  </mergeCells>
  <pageMargins left="0.25" right="0.25" top="0.75" bottom="0.75" header="0.3" footer="0.3"/>
  <pageSetup scale="42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"/>
  <sheetViews>
    <sheetView view="pageBreakPreview" zoomScale="60" zoomScaleNormal="120" workbookViewId="0">
      <selection activeCell="F17" sqref="F17"/>
    </sheetView>
  </sheetViews>
  <sheetFormatPr baseColWidth="10" defaultRowHeight="18"/>
  <cols>
    <col min="1" max="1" width="28.28515625" style="104" customWidth="1"/>
    <col min="2" max="2" width="37.28515625" style="47" customWidth="1"/>
    <col min="3" max="3" width="38.42578125" style="46" customWidth="1"/>
    <col min="4" max="4" width="28.28515625" style="47" customWidth="1"/>
    <col min="5" max="5" width="37" style="48" customWidth="1"/>
    <col min="6" max="6" width="26.42578125" style="48" customWidth="1"/>
    <col min="7" max="7" width="32.42578125" style="48" customWidth="1"/>
    <col min="8" max="16384" width="11.42578125" style="48"/>
  </cols>
  <sheetData>
    <row r="2" spans="1:7" s="414" customFormat="1" ht="46.5">
      <c r="A2" s="540" t="s">
        <v>778</v>
      </c>
      <c r="B2" s="540"/>
      <c r="C2" s="540"/>
      <c r="D2" s="540"/>
      <c r="E2" s="540"/>
      <c r="F2" s="540"/>
      <c r="G2" s="540"/>
    </row>
    <row r="3" spans="1:7" s="117" customFormat="1" ht="18.75">
      <c r="A3" s="123"/>
      <c r="B3" s="125"/>
      <c r="C3" s="124"/>
      <c r="D3" s="125"/>
    </row>
    <row r="4" spans="1:7" s="117" customFormat="1" ht="18.75">
      <c r="A4" s="123"/>
      <c r="B4" s="125" t="s">
        <v>2</v>
      </c>
      <c r="C4" s="124"/>
      <c r="D4" s="125"/>
    </row>
    <row r="5" spans="1:7" s="117" customFormat="1" ht="73.5">
      <c r="A5" s="190" t="s">
        <v>69</v>
      </c>
      <c r="B5" s="190" t="s">
        <v>3</v>
      </c>
      <c r="C5" s="190" t="s">
        <v>4</v>
      </c>
      <c r="D5" s="190" t="s">
        <v>21</v>
      </c>
      <c r="E5" s="190" t="s">
        <v>5</v>
      </c>
      <c r="F5" s="190" t="s">
        <v>1</v>
      </c>
      <c r="G5" s="190" t="s">
        <v>7</v>
      </c>
    </row>
    <row r="6" spans="1:7" ht="69">
      <c r="A6" s="343" t="s">
        <v>290</v>
      </c>
      <c r="B6" s="242" t="s">
        <v>291</v>
      </c>
      <c r="C6" s="180" t="s">
        <v>292</v>
      </c>
      <c r="D6" s="333">
        <v>46210</v>
      </c>
      <c r="E6" s="344">
        <v>110000</v>
      </c>
      <c r="F6" s="180"/>
      <c r="G6" s="180"/>
    </row>
    <row r="7" spans="1:7" ht="34.5">
      <c r="A7" s="343"/>
      <c r="B7" s="242"/>
      <c r="C7" s="180"/>
      <c r="D7" s="333"/>
      <c r="E7" s="344"/>
      <c r="F7" s="180"/>
      <c r="G7" s="180"/>
    </row>
    <row r="8" spans="1:7" s="108" customFormat="1" ht="34.5">
      <c r="A8" s="343"/>
      <c r="B8" s="242"/>
      <c r="C8" s="258"/>
      <c r="D8" s="243"/>
      <c r="E8" s="344"/>
      <c r="F8" s="244"/>
      <c r="G8" s="244"/>
    </row>
    <row r="9" spans="1:7" s="108" customFormat="1" ht="34.5">
      <c r="A9" s="343"/>
      <c r="B9" s="242"/>
      <c r="C9" s="258"/>
      <c r="D9" s="243"/>
      <c r="E9" s="232">
        <f>SUM(E6:E8)</f>
        <v>110000</v>
      </c>
      <c r="F9" s="244"/>
      <c r="G9" s="244"/>
    </row>
  </sheetData>
  <mergeCells count="1">
    <mergeCell ref="A2:G2"/>
  </mergeCells>
  <pageMargins left="0.51181102362204722" right="0.51181102362204722" top="0.55118110236220474" bottom="0.55118110236220474" header="0.31496062992125984" footer="0.31496062992125984"/>
  <pageSetup scale="41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view="pageBreakPreview" zoomScale="50" zoomScaleNormal="120" zoomScaleSheetLayoutView="50" workbookViewId="0">
      <selection activeCell="F18" sqref="F18"/>
    </sheetView>
  </sheetViews>
  <sheetFormatPr baseColWidth="10" defaultColWidth="36.140625" defaultRowHeight="31.5"/>
  <cols>
    <col min="1" max="1" width="36.140625" style="220"/>
    <col min="2" max="2" width="36.140625" style="187"/>
    <col min="3" max="3" width="36.140625" style="186"/>
    <col min="4" max="4" width="36.140625" style="187"/>
    <col min="5" max="5" width="39.5703125" style="185" bestFit="1" customWidth="1"/>
    <col min="6" max="16384" width="36.140625" style="185"/>
  </cols>
  <sheetData>
    <row r="2" spans="1:7" s="276" customFormat="1" ht="46.5">
      <c r="A2" s="540" t="s">
        <v>779</v>
      </c>
      <c r="B2" s="540"/>
      <c r="C2" s="540"/>
      <c r="D2" s="540"/>
      <c r="E2" s="540"/>
      <c r="F2" s="540"/>
      <c r="G2" s="540"/>
    </row>
    <row r="3" spans="1:7" s="276" customFormat="1" ht="33.75">
      <c r="A3" s="277"/>
      <c r="B3" s="278"/>
      <c r="C3" s="279"/>
      <c r="D3" s="278"/>
    </row>
    <row r="4" spans="1:7" s="276" customFormat="1" ht="33.75">
      <c r="A4" s="277"/>
      <c r="B4" s="278" t="s">
        <v>2</v>
      </c>
      <c r="C4" s="279"/>
      <c r="D4" s="278"/>
    </row>
    <row r="5" spans="1:7" s="276" customFormat="1" ht="73.5">
      <c r="A5" s="190" t="s">
        <v>69</v>
      </c>
      <c r="B5" s="190" t="s">
        <v>3</v>
      </c>
      <c r="C5" s="190" t="s">
        <v>4</v>
      </c>
      <c r="D5" s="190" t="s">
        <v>21</v>
      </c>
      <c r="E5" s="190" t="s">
        <v>5</v>
      </c>
      <c r="F5" s="190" t="s">
        <v>1</v>
      </c>
      <c r="G5" s="190" t="s">
        <v>7</v>
      </c>
    </row>
    <row r="6" spans="1:7" ht="94.5">
      <c r="A6" s="223" t="s">
        <v>325</v>
      </c>
      <c r="B6" s="225" t="s">
        <v>326</v>
      </c>
      <c r="C6" s="171" t="s">
        <v>294</v>
      </c>
      <c r="D6" s="235">
        <v>46147</v>
      </c>
      <c r="E6" s="204">
        <v>10590000</v>
      </c>
      <c r="F6" s="171"/>
      <c r="G6" s="171"/>
    </row>
    <row r="7" spans="1:7">
      <c r="A7" s="223"/>
      <c r="B7" s="225"/>
      <c r="C7" s="171"/>
      <c r="D7" s="235"/>
      <c r="E7" s="204"/>
      <c r="F7" s="171"/>
      <c r="G7" s="171"/>
    </row>
    <row r="8" spans="1:7" s="233" customFormat="1">
      <c r="A8" s="223"/>
      <c r="B8" s="225"/>
      <c r="C8" s="253"/>
      <c r="D8" s="200"/>
      <c r="E8" s="204"/>
      <c r="F8" s="202"/>
      <c r="G8" s="202"/>
    </row>
    <row r="10" spans="1:7">
      <c r="E10" s="188">
        <f>SUM(E6:E9)</f>
        <v>10590000</v>
      </c>
    </row>
  </sheetData>
  <mergeCells count="1">
    <mergeCell ref="A2:G2"/>
  </mergeCells>
  <pageMargins left="0.25" right="0.25" top="0.75" bottom="0.75" header="0.3" footer="0.3"/>
  <pageSetup scale="37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view="pageBreakPreview" topLeftCell="A5" zoomScale="70" zoomScaleNormal="120" zoomScaleSheetLayoutView="70" workbookViewId="0">
      <selection activeCell="A12" sqref="A12"/>
    </sheetView>
  </sheetViews>
  <sheetFormatPr baseColWidth="10" defaultRowHeight="31.5"/>
  <cols>
    <col min="1" max="1" width="20" style="220" customWidth="1"/>
    <col min="2" max="2" width="36.140625" style="187" customWidth="1"/>
    <col min="3" max="3" width="36.85546875" style="186" customWidth="1"/>
    <col min="4" max="4" width="30.28515625" style="187" customWidth="1"/>
    <col min="5" max="5" width="34.42578125" style="185" customWidth="1"/>
    <col min="6" max="6" width="27.5703125" style="185" customWidth="1"/>
    <col min="7" max="7" width="31.5703125" style="185" customWidth="1"/>
    <col min="8" max="16384" width="11.42578125" style="185"/>
  </cols>
  <sheetData>
    <row r="2" spans="1:7" s="276" customFormat="1" ht="33.75">
      <c r="A2" s="542" t="s">
        <v>711</v>
      </c>
      <c r="B2" s="542"/>
      <c r="C2" s="542"/>
      <c r="D2" s="542"/>
      <c r="E2" s="542"/>
      <c r="F2" s="542"/>
      <c r="G2" s="542"/>
    </row>
    <row r="3" spans="1:7" s="276" customFormat="1" ht="33.75">
      <c r="A3" s="277"/>
      <c r="B3" s="278"/>
      <c r="C3" s="279"/>
      <c r="D3" s="278"/>
    </row>
    <row r="4" spans="1:7" s="276" customFormat="1" ht="33.75">
      <c r="A4" s="277"/>
      <c r="B4" s="278" t="s">
        <v>2</v>
      </c>
      <c r="C4" s="279"/>
      <c r="D4" s="278"/>
    </row>
    <row r="5" spans="1:7" s="276" customFormat="1" ht="67.5">
      <c r="A5" s="189" t="s">
        <v>69</v>
      </c>
      <c r="B5" s="189" t="s">
        <v>3</v>
      </c>
      <c r="C5" s="189" t="s">
        <v>4</v>
      </c>
      <c r="D5" s="189" t="s">
        <v>21</v>
      </c>
      <c r="E5" s="189" t="s">
        <v>5</v>
      </c>
      <c r="F5" s="189" t="s">
        <v>1</v>
      </c>
      <c r="G5" s="189" t="s">
        <v>7</v>
      </c>
    </row>
    <row r="6" spans="1:7" ht="94.5">
      <c r="A6" s="223"/>
      <c r="B6" s="225" t="s">
        <v>293</v>
      </c>
      <c r="C6" s="171" t="s">
        <v>712</v>
      </c>
      <c r="D6" s="235">
        <v>46147</v>
      </c>
      <c r="E6" s="226">
        <v>8674944</v>
      </c>
      <c r="F6" s="171"/>
      <c r="G6" s="171"/>
    </row>
    <row r="7" spans="1:7">
      <c r="A7" s="223"/>
      <c r="B7" s="225"/>
      <c r="C7" s="171"/>
      <c r="D7" s="235"/>
      <c r="E7" s="226"/>
      <c r="F7" s="171"/>
      <c r="G7" s="171"/>
    </row>
    <row r="8" spans="1:7" s="233" customFormat="1">
      <c r="A8" s="223"/>
      <c r="B8" s="225"/>
      <c r="C8" s="253"/>
      <c r="D8" s="200"/>
      <c r="E8" s="226"/>
      <c r="F8" s="202"/>
      <c r="G8" s="202"/>
    </row>
    <row r="9" spans="1:7" s="233" customFormat="1">
      <c r="A9" s="223"/>
      <c r="B9" s="225"/>
      <c r="C9" s="253"/>
      <c r="D9" s="200"/>
      <c r="E9" s="226">
        <f>SUM(E6:E8)</f>
        <v>8674944</v>
      </c>
      <c r="F9" s="202"/>
      <c r="G9" s="202"/>
    </row>
    <row r="10" spans="1:7" s="233" customFormat="1">
      <c r="A10" s="223"/>
      <c r="B10" s="225"/>
      <c r="C10" s="253"/>
      <c r="D10" s="200"/>
      <c r="E10" s="204"/>
      <c r="F10" s="202"/>
      <c r="G10" s="202"/>
    </row>
    <row r="11" spans="1:7" s="233" customFormat="1">
      <c r="A11" s="223"/>
      <c r="B11" s="225"/>
      <c r="C11" s="253"/>
      <c r="D11" s="203"/>
      <c r="E11" s="204"/>
      <c r="F11" s="202"/>
      <c r="G11" s="202"/>
    </row>
    <row r="12" spans="1:7">
      <c r="A12" s="220" t="s">
        <v>713</v>
      </c>
    </row>
  </sheetData>
  <mergeCells count="1">
    <mergeCell ref="A2:G2"/>
  </mergeCells>
  <pageMargins left="0.51181102362204722" right="0.51181102362204722" top="0.55118110236220474" bottom="0.55118110236220474" header="0.31496062992125984" footer="0.31496062992125984"/>
  <pageSetup scale="56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5"/>
  <sheetViews>
    <sheetView view="pageBreakPreview" topLeftCell="A7" zoomScale="130" zoomScaleNormal="120" zoomScaleSheetLayoutView="130" workbookViewId="0">
      <selection activeCell="B12" sqref="B12"/>
    </sheetView>
  </sheetViews>
  <sheetFormatPr baseColWidth="10" defaultRowHeight="15.75"/>
  <cols>
    <col min="1" max="1" width="15.42578125" style="19" customWidth="1"/>
    <col min="2" max="2" width="29.140625" style="10" customWidth="1"/>
    <col min="3" max="3" width="29.5703125" style="4" customWidth="1"/>
    <col min="4" max="4" width="15" style="10" customWidth="1"/>
    <col min="5" max="5" width="19.85546875" style="1" customWidth="1"/>
    <col min="6" max="6" width="28.5703125" style="10" customWidth="1"/>
    <col min="7" max="7" width="13.28515625" style="1" customWidth="1"/>
    <col min="8" max="8" width="18.5703125" style="1" customWidth="1"/>
    <col min="9" max="16384" width="11.42578125" style="1"/>
  </cols>
  <sheetData>
    <row r="2" spans="1:8">
      <c r="A2" s="18" t="s">
        <v>295</v>
      </c>
      <c r="B2" s="14"/>
    </row>
    <row r="3" spans="1:8">
      <c r="A3" s="18" t="s">
        <v>111</v>
      </c>
      <c r="B3" s="14"/>
    </row>
    <row r="4" spans="1:8">
      <c r="A4" s="18" t="s">
        <v>112</v>
      </c>
      <c r="B4" s="14"/>
    </row>
    <row r="5" spans="1:8">
      <c r="A5" s="18" t="s">
        <v>119</v>
      </c>
      <c r="B5" s="14"/>
    </row>
    <row r="6" spans="1:8">
      <c r="A6" s="18" t="s">
        <v>296</v>
      </c>
      <c r="B6" s="14"/>
    </row>
    <row r="7" spans="1:8">
      <c r="A7" s="18" t="s">
        <v>297</v>
      </c>
      <c r="B7" s="14"/>
    </row>
    <row r="8" spans="1:8">
      <c r="C8" s="9"/>
    </row>
    <row r="9" spans="1:8">
      <c r="B9" s="10" t="s">
        <v>2</v>
      </c>
    </row>
    <row r="10" spans="1:8" ht="31.5">
      <c r="A10" s="2" t="s">
        <v>69</v>
      </c>
      <c r="B10" s="2" t="s">
        <v>3</v>
      </c>
      <c r="C10" s="2" t="s">
        <v>4</v>
      </c>
      <c r="D10" s="2" t="s">
        <v>21</v>
      </c>
      <c r="E10" s="2" t="s">
        <v>5</v>
      </c>
      <c r="F10" s="2" t="s">
        <v>16</v>
      </c>
      <c r="G10" s="2" t="s">
        <v>1</v>
      </c>
      <c r="H10" s="2" t="s">
        <v>7</v>
      </c>
    </row>
    <row r="11" spans="1:8" ht="31.5">
      <c r="A11" s="36" t="s">
        <v>298</v>
      </c>
      <c r="B11" s="20" t="s">
        <v>299</v>
      </c>
      <c r="C11" s="8" t="s">
        <v>301</v>
      </c>
      <c r="D11" s="15">
        <v>46119</v>
      </c>
      <c r="E11" s="22">
        <v>770000</v>
      </c>
      <c r="F11" s="8" t="s">
        <v>300</v>
      </c>
      <c r="G11" s="8"/>
      <c r="H11" s="8"/>
    </row>
    <row r="12" spans="1:8">
      <c r="A12" s="36"/>
      <c r="B12" s="20"/>
      <c r="C12" s="8"/>
      <c r="D12" s="15"/>
      <c r="E12" s="22"/>
      <c r="F12" s="8"/>
      <c r="G12" s="8"/>
      <c r="H12" s="8"/>
    </row>
    <row r="13" spans="1:8" s="23" customFormat="1">
      <c r="A13" s="36"/>
      <c r="B13" s="20"/>
      <c r="C13" s="31"/>
      <c r="D13" s="21"/>
      <c r="E13" s="22"/>
      <c r="F13" s="27"/>
      <c r="G13" s="26"/>
      <c r="H13" s="26"/>
    </row>
    <row r="14" spans="1:8" s="23" customFormat="1">
      <c r="A14" s="36"/>
      <c r="B14" s="20"/>
      <c r="C14" s="31"/>
      <c r="D14" s="21"/>
      <c r="E14" s="22"/>
      <c r="F14" s="25"/>
      <c r="G14" s="26"/>
      <c r="H14" s="26"/>
    </row>
    <row r="15" spans="1:8" s="23" customFormat="1">
      <c r="A15" s="36"/>
      <c r="B15" s="20"/>
      <c r="C15" s="31"/>
      <c r="D15" s="21"/>
      <c r="E15" s="22"/>
      <c r="F15" s="25"/>
      <c r="G15" s="26"/>
      <c r="H15" s="26"/>
    </row>
    <row r="16" spans="1:8" s="23" customFormat="1">
      <c r="A16" s="36"/>
      <c r="B16" s="20"/>
      <c r="C16" s="31"/>
      <c r="D16" s="28"/>
      <c r="E16" s="22"/>
      <c r="F16" s="30"/>
      <c r="G16" s="26"/>
      <c r="H16" s="26"/>
    </row>
    <row r="17" spans="1:8" s="23" customFormat="1">
      <c r="A17" s="36"/>
      <c r="B17" s="30"/>
      <c r="C17" s="31"/>
      <c r="D17" s="28"/>
      <c r="E17" s="29"/>
      <c r="F17" s="30"/>
      <c r="G17" s="26"/>
      <c r="H17" s="26"/>
    </row>
    <row r="18" spans="1:8" s="23" customFormat="1">
      <c r="A18" s="33"/>
      <c r="B18" s="20"/>
      <c r="C18" s="31"/>
      <c r="D18" s="28"/>
      <c r="E18" s="29"/>
      <c r="F18" s="30"/>
      <c r="G18" s="26"/>
      <c r="H18" s="26"/>
    </row>
    <row r="19" spans="1:8" s="23" customFormat="1">
      <c r="A19" s="33"/>
      <c r="B19" s="20"/>
      <c r="C19" s="31"/>
      <c r="D19" s="28"/>
      <c r="E19" s="29"/>
      <c r="F19" s="30"/>
      <c r="G19" s="26"/>
      <c r="H19" s="26"/>
    </row>
    <row r="20" spans="1:8" s="23" customFormat="1">
      <c r="A20" s="33"/>
      <c r="B20" s="20"/>
      <c r="C20" s="31"/>
      <c r="D20" s="28"/>
      <c r="E20" s="29"/>
      <c r="F20" s="20"/>
      <c r="G20" s="26"/>
      <c r="H20" s="26"/>
    </row>
    <row r="21" spans="1:8" s="23" customFormat="1">
      <c r="A21" s="33"/>
      <c r="B21" s="20"/>
      <c r="C21" s="31"/>
      <c r="D21" s="28"/>
      <c r="E21" s="29"/>
      <c r="F21" s="20"/>
      <c r="G21" s="26"/>
      <c r="H21" s="26"/>
    </row>
    <row r="22" spans="1:8" s="23" customFormat="1">
      <c r="A22" s="33"/>
      <c r="B22" s="20"/>
      <c r="C22" s="31"/>
      <c r="D22" s="28"/>
      <c r="E22" s="29"/>
      <c r="F22" s="20"/>
      <c r="G22" s="26"/>
      <c r="H22" s="26"/>
    </row>
    <row r="23" spans="1:8" s="23" customFormat="1">
      <c r="A23" s="34"/>
      <c r="B23" s="30"/>
      <c r="C23" s="31"/>
      <c r="D23" s="28"/>
      <c r="E23" s="29"/>
      <c r="F23" s="30"/>
      <c r="G23" s="26"/>
      <c r="H23" s="26"/>
    </row>
    <row r="24" spans="1:8" s="23" customFormat="1">
      <c r="A24" s="34"/>
      <c r="B24" s="30"/>
      <c r="C24" s="31"/>
      <c r="D24" s="28"/>
      <c r="E24" s="29"/>
      <c r="F24" s="30"/>
      <c r="G24" s="26"/>
      <c r="H24" s="26"/>
    </row>
    <row r="25" spans="1:8">
      <c r="A25" s="33"/>
      <c r="B25" s="6"/>
      <c r="C25" s="16"/>
      <c r="D25" s="11"/>
      <c r="E25" s="12"/>
      <c r="F25" s="6"/>
      <c r="G25" s="3"/>
      <c r="H25" s="3"/>
    </row>
    <row r="26" spans="1:8">
      <c r="A26" s="33"/>
      <c r="B26" s="6"/>
      <c r="C26" s="16"/>
      <c r="D26" s="11"/>
      <c r="E26" s="12"/>
      <c r="F26" s="6"/>
      <c r="G26" s="3"/>
      <c r="H26" s="3"/>
    </row>
    <row r="27" spans="1:8">
      <c r="A27" s="33"/>
      <c r="B27" s="6"/>
      <c r="C27" s="16"/>
      <c r="D27" s="11"/>
      <c r="E27" s="12"/>
      <c r="F27" s="6"/>
      <c r="G27" s="3"/>
      <c r="H27" s="3"/>
    </row>
    <row r="28" spans="1:8">
      <c r="A28" s="33"/>
      <c r="B28" s="6"/>
      <c r="C28" s="8"/>
      <c r="D28" s="11"/>
      <c r="E28" s="12"/>
      <c r="F28" s="6"/>
      <c r="G28" s="3"/>
      <c r="H28" s="3"/>
    </row>
    <row r="29" spans="1:8">
      <c r="A29" s="33"/>
      <c r="B29" s="6"/>
      <c r="C29" s="8"/>
      <c r="D29" s="11"/>
      <c r="E29" s="12"/>
      <c r="F29" s="6"/>
      <c r="G29" s="3"/>
      <c r="H29" s="3"/>
    </row>
    <row r="30" spans="1:8">
      <c r="A30" s="33"/>
      <c r="B30" s="6"/>
      <c r="C30" s="8"/>
      <c r="D30" s="11"/>
      <c r="E30" s="12"/>
      <c r="F30" s="6"/>
      <c r="G30" s="3"/>
      <c r="H30" s="3"/>
    </row>
    <row r="31" spans="1:8">
      <c r="A31" s="33"/>
      <c r="B31" s="6"/>
      <c r="C31" s="8"/>
      <c r="D31" s="11"/>
      <c r="E31" s="12"/>
      <c r="F31" s="6"/>
      <c r="G31" s="3"/>
      <c r="H31" s="3"/>
    </row>
    <row r="32" spans="1:8">
      <c r="A32" s="33"/>
      <c r="B32" s="6"/>
      <c r="C32" s="8"/>
      <c r="D32" s="11"/>
      <c r="E32" s="12"/>
      <c r="F32" s="6"/>
      <c r="G32" s="3"/>
      <c r="H32" s="3"/>
    </row>
    <row r="33" spans="1:8">
      <c r="A33" s="33"/>
      <c r="B33" s="6"/>
      <c r="C33" s="8"/>
      <c r="D33" s="11"/>
      <c r="E33" s="12"/>
      <c r="F33" s="6"/>
      <c r="G33" s="3"/>
      <c r="H33" s="3"/>
    </row>
    <row r="34" spans="1:8">
      <c r="A34" s="35"/>
      <c r="B34" s="6"/>
      <c r="C34" s="6"/>
      <c r="D34" s="11"/>
      <c r="E34" s="12"/>
      <c r="F34" s="6"/>
      <c r="G34" s="3"/>
      <c r="H34" s="3"/>
    </row>
    <row r="35" spans="1:8">
      <c r="A35" s="35"/>
      <c r="B35" s="6"/>
      <c r="C35" s="6"/>
      <c r="D35" s="11"/>
      <c r="E35" s="12"/>
      <c r="F35" s="6"/>
      <c r="G35" s="3"/>
      <c r="H35" s="3"/>
    </row>
    <row r="36" spans="1:8">
      <c r="A36" s="35"/>
      <c r="B36" s="6"/>
      <c r="C36" s="6"/>
      <c r="D36" s="11"/>
      <c r="E36" s="12"/>
      <c r="F36" s="6"/>
      <c r="G36" s="3"/>
      <c r="H36" s="3"/>
    </row>
    <row r="37" spans="1:8">
      <c r="A37" s="6"/>
      <c r="B37" s="6"/>
      <c r="C37" s="6"/>
      <c r="D37" s="11"/>
      <c r="E37" s="12"/>
      <c r="F37" s="6"/>
      <c r="G37" s="3"/>
      <c r="H37" s="3"/>
    </row>
    <row r="38" spans="1:8">
      <c r="A38" s="6"/>
      <c r="B38" s="6"/>
      <c r="C38" s="6"/>
      <c r="D38" s="11"/>
      <c r="E38" s="12"/>
      <c r="F38" s="6"/>
      <c r="G38" s="3"/>
      <c r="H38" s="3"/>
    </row>
    <row r="39" spans="1:8">
      <c r="A39" s="6"/>
      <c r="B39" s="6"/>
      <c r="C39" s="6"/>
      <c r="D39" s="11"/>
      <c r="E39" s="12"/>
      <c r="F39" s="6"/>
      <c r="G39" s="3"/>
      <c r="H39" s="3"/>
    </row>
    <row r="40" spans="1:8">
      <c r="A40" s="6"/>
      <c r="B40" s="6"/>
      <c r="C40" s="17"/>
      <c r="D40" s="11"/>
      <c r="E40" s="12"/>
      <c r="F40" s="6"/>
      <c r="G40" s="3"/>
      <c r="H40" s="3"/>
    </row>
    <row r="41" spans="1:8">
      <c r="A41" s="6"/>
      <c r="B41" s="6"/>
      <c r="C41" s="17"/>
      <c r="D41" s="11"/>
      <c r="E41" s="7"/>
      <c r="F41" s="6"/>
      <c r="G41" s="3"/>
      <c r="H41" s="3"/>
    </row>
    <row r="42" spans="1:8">
      <c r="A42" s="7"/>
      <c r="B42" s="6"/>
      <c r="C42" s="17"/>
      <c r="D42" s="11"/>
      <c r="E42" s="7"/>
      <c r="F42" s="6"/>
      <c r="G42" s="3"/>
      <c r="H42" s="3"/>
    </row>
    <row r="43" spans="1:8">
      <c r="A43" s="7"/>
      <c r="B43" s="6"/>
      <c r="C43" s="17"/>
      <c r="D43" s="11"/>
      <c r="E43" s="7"/>
      <c r="F43" s="6"/>
      <c r="G43" s="3"/>
      <c r="H43" s="3"/>
    </row>
    <row r="44" spans="1:8">
      <c r="A44" s="7"/>
      <c r="B44" s="6"/>
      <c r="C44" s="17"/>
      <c r="D44" s="11"/>
      <c r="E44" s="3"/>
      <c r="F44" s="6"/>
      <c r="G44" s="3"/>
      <c r="H44" s="3"/>
    </row>
    <row r="45" spans="1:8">
      <c r="A45" s="7"/>
      <c r="B45" s="6"/>
      <c r="C45" s="17"/>
      <c r="D45" s="6"/>
      <c r="E45" s="3"/>
      <c r="F45" s="6"/>
      <c r="G45" s="3"/>
      <c r="H45" s="3"/>
    </row>
  </sheetData>
  <pageMargins left="0.51181102362204722" right="0.51181102362204722" top="0.55118110236220474" bottom="0.55118110236220474" header="0.31496062992125984" footer="0.31496062992125984"/>
  <pageSetup scale="66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view="pageBreakPreview" zoomScale="70" zoomScaleNormal="120" zoomScaleSheetLayoutView="70" workbookViewId="0">
      <selection sqref="A1:XFD1048576"/>
    </sheetView>
  </sheetViews>
  <sheetFormatPr baseColWidth="10" defaultRowHeight="27"/>
  <cols>
    <col min="1" max="1" width="21.140625" style="66" customWidth="1"/>
    <col min="2" max="2" width="29.140625" style="67" customWidth="1"/>
    <col min="3" max="3" width="33.42578125" style="68" customWidth="1"/>
    <col min="4" max="4" width="24" style="67" customWidth="1"/>
    <col min="5" max="5" width="25.5703125" style="69" customWidth="1"/>
    <col min="6" max="6" width="28.5703125" style="67" customWidth="1"/>
    <col min="7" max="7" width="21.140625" style="69" customWidth="1"/>
    <col min="8" max="8" width="28.5703125" style="69" customWidth="1"/>
    <col min="9" max="16384" width="11.42578125" style="69"/>
  </cols>
  <sheetData>
    <row r="1" spans="1:8" s="623" customFormat="1" ht="46.5">
      <c r="A1" s="557" t="s">
        <v>828</v>
      </c>
      <c r="B1" s="557"/>
      <c r="C1" s="557"/>
      <c r="D1" s="557"/>
      <c r="E1" s="557"/>
      <c r="F1" s="557"/>
      <c r="G1" s="557"/>
      <c r="H1" s="557"/>
    </row>
    <row r="2" spans="1:8" s="627" customFormat="1" ht="28.5">
      <c r="A2" s="624"/>
      <c r="B2" s="625"/>
      <c r="C2" s="626"/>
      <c r="D2" s="625"/>
      <c r="F2" s="625"/>
    </row>
    <row r="3" spans="1:8" s="627" customFormat="1" ht="28.5">
      <c r="A3" s="624"/>
      <c r="B3" s="625" t="s">
        <v>2</v>
      </c>
      <c r="C3" s="626"/>
      <c r="D3" s="625"/>
      <c r="F3" s="625"/>
    </row>
    <row r="4" spans="1:8" s="627" customFormat="1" ht="57">
      <c r="A4" s="628" t="s">
        <v>69</v>
      </c>
      <c r="B4" s="628" t="s">
        <v>3</v>
      </c>
      <c r="C4" s="628" t="s">
        <v>4</v>
      </c>
      <c r="D4" s="628" t="s">
        <v>21</v>
      </c>
      <c r="E4" s="628" t="s">
        <v>5</v>
      </c>
      <c r="F4" s="628" t="s">
        <v>16</v>
      </c>
      <c r="G4" s="628" t="s">
        <v>1</v>
      </c>
      <c r="H4" s="628" t="s">
        <v>7</v>
      </c>
    </row>
    <row r="5" spans="1:8" ht="71.25" customHeight="1">
      <c r="A5" s="480" t="s">
        <v>302</v>
      </c>
      <c r="B5" s="478" t="s">
        <v>303</v>
      </c>
      <c r="C5" s="479" t="s">
        <v>304</v>
      </c>
      <c r="D5" s="481">
        <v>46163</v>
      </c>
      <c r="E5" s="483">
        <v>52000</v>
      </c>
      <c r="F5" s="479"/>
      <c r="G5" s="479"/>
      <c r="H5" s="479"/>
    </row>
    <row r="6" spans="1:8" ht="89.25" customHeight="1">
      <c r="A6" s="480" t="s">
        <v>305</v>
      </c>
      <c r="B6" s="478" t="s">
        <v>306</v>
      </c>
      <c r="C6" s="479" t="s">
        <v>320</v>
      </c>
      <c r="D6" s="481">
        <v>45751</v>
      </c>
      <c r="E6" s="483">
        <v>190000</v>
      </c>
      <c r="F6" s="479" t="s">
        <v>307</v>
      </c>
      <c r="G6" s="479"/>
      <c r="H6" s="479"/>
    </row>
    <row r="7" spans="1:8" s="65" customFormat="1" ht="81.75" customHeight="1">
      <c r="A7" s="480" t="s">
        <v>308</v>
      </c>
      <c r="B7" s="478" t="s">
        <v>309</v>
      </c>
      <c r="C7" s="479" t="s">
        <v>304</v>
      </c>
      <c r="D7" s="481">
        <v>46181</v>
      </c>
      <c r="E7" s="483">
        <v>245000</v>
      </c>
      <c r="F7" s="484"/>
      <c r="G7" s="485"/>
      <c r="H7" s="485"/>
    </row>
    <row r="8" spans="1:8" s="65" customFormat="1" ht="75" customHeight="1">
      <c r="A8" s="480" t="s">
        <v>310</v>
      </c>
      <c r="B8" s="478" t="s">
        <v>311</v>
      </c>
      <c r="C8" s="479" t="s">
        <v>304</v>
      </c>
      <c r="D8" s="481">
        <v>46182</v>
      </c>
      <c r="E8" s="483">
        <v>165000</v>
      </c>
      <c r="F8" s="486"/>
      <c r="G8" s="485"/>
      <c r="H8" s="485"/>
    </row>
    <row r="9" spans="1:8" s="65" customFormat="1" ht="54">
      <c r="A9" s="480" t="s">
        <v>312</v>
      </c>
      <c r="B9" s="478" t="s">
        <v>313</v>
      </c>
      <c r="C9" s="479" t="s">
        <v>314</v>
      </c>
      <c r="D9" s="481">
        <v>46223</v>
      </c>
      <c r="E9" s="483">
        <v>180000</v>
      </c>
      <c r="F9" s="486"/>
      <c r="G9" s="485"/>
      <c r="H9" s="485"/>
    </row>
    <row r="10" spans="1:8" s="65" customFormat="1" ht="74.25" customHeight="1">
      <c r="A10" s="480" t="s">
        <v>332</v>
      </c>
      <c r="B10" s="478" t="s">
        <v>340</v>
      </c>
      <c r="C10" s="479" t="s">
        <v>304</v>
      </c>
      <c r="D10" s="481">
        <v>46230</v>
      </c>
      <c r="E10" s="483">
        <v>235000</v>
      </c>
      <c r="F10" s="479" t="s">
        <v>341</v>
      </c>
      <c r="G10" s="485"/>
      <c r="H10" s="485"/>
    </row>
    <row r="11" spans="1:8" s="65" customFormat="1" ht="69" customHeight="1">
      <c r="A11" s="480" t="s">
        <v>787</v>
      </c>
      <c r="B11" s="478" t="s">
        <v>788</v>
      </c>
      <c r="C11" s="479" t="s">
        <v>789</v>
      </c>
      <c r="D11" s="481">
        <v>46258</v>
      </c>
      <c r="E11" s="482">
        <v>85000</v>
      </c>
      <c r="F11" s="487"/>
      <c r="G11" s="485"/>
      <c r="H11" s="485"/>
    </row>
    <row r="12" spans="1:8" s="65" customFormat="1">
      <c r="A12" s="488"/>
      <c r="B12" s="478"/>
      <c r="C12" s="489"/>
      <c r="D12" s="481"/>
      <c r="E12" s="482"/>
      <c r="F12" s="487"/>
      <c r="G12" s="485"/>
      <c r="H12" s="485"/>
    </row>
    <row r="13" spans="1:8" s="65" customFormat="1">
      <c r="A13" s="488"/>
      <c r="B13" s="478"/>
      <c r="C13" s="489"/>
      <c r="D13" s="481"/>
      <c r="E13" s="482"/>
      <c r="F13" s="487"/>
      <c r="G13" s="485"/>
      <c r="H13" s="485"/>
    </row>
    <row r="14" spans="1:8" s="65" customFormat="1">
      <c r="A14" s="488"/>
      <c r="B14" s="478"/>
      <c r="C14" s="489"/>
      <c r="D14" s="481"/>
      <c r="E14" s="482"/>
      <c r="F14" s="478"/>
      <c r="G14" s="485"/>
      <c r="H14" s="485"/>
    </row>
    <row r="15" spans="1:8" s="65" customFormat="1">
      <c r="A15" s="488"/>
      <c r="B15" s="478"/>
      <c r="C15" s="489"/>
      <c r="D15" s="481"/>
      <c r="E15" s="482"/>
      <c r="F15" s="478"/>
      <c r="G15" s="485"/>
      <c r="H15" s="485"/>
    </row>
  </sheetData>
  <mergeCells count="1">
    <mergeCell ref="A1:H1"/>
  </mergeCells>
  <pageMargins left="0.25" right="0.25" top="0.75" bottom="0.75" header="0.3" footer="0.3"/>
  <pageSetup scale="63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5"/>
  <sheetViews>
    <sheetView view="pageBreakPreview" zoomScale="130" zoomScaleNormal="120" zoomScaleSheetLayoutView="130" workbookViewId="0">
      <selection activeCell="B12" sqref="B12"/>
    </sheetView>
  </sheetViews>
  <sheetFormatPr baseColWidth="10" defaultRowHeight="15.75"/>
  <cols>
    <col min="1" max="1" width="15.42578125" style="19" customWidth="1"/>
    <col min="2" max="2" width="29.140625" style="10" customWidth="1"/>
    <col min="3" max="3" width="29.5703125" style="4" customWidth="1"/>
    <col min="4" max="4" width="15" style="10" customWidth="1"/>
    <col min="5" max="5" width="19.85546875" style="1" customWidth="1"/>
    <col min="6" max="6" width="28.5703125" style="10" customWidth="1"/>
    <col min="7" max="7" width="13.28515625" style="1" customWidth="1"/>
    <col min="8" max="8" width="18.5703125" style="1" customWidth="1"/>
    <col min="9" max="16384" width="11.42578125" style="1"/>
  </cols>
  <sheetData>
    <row r="2" spans="1:8">
      <c r="A2" s="18" t="s">
        <v>333</v>
      </c>
      <c r="B2" s="14"/>
    </row>
    <row r="3" spans="1:8">
      <c r="A3" s="18" t="s">
        <v>111</v>
      </c>
      <c r="B3" s="14"/>
    </row>
    <row r="4" spans="1:8">
      <c r="A4" s="18" t="s">
        <v>112</v>
      </c>
      <c r="B4" s="14"/>
    </row>
    <row r="5" spans="1:8">
      <c r="A5" s="18" t="s">
        <v>119</v>
      </c>
      <c r="B5" s="14"/>
    </row>
    <row r="6" spans="1:8">
      <c r="A6" s="18" t="s">
        <v>334</v>
      </c>
      <c r="B6" s="14"/>
    </row>
    <row r="7" spans="1:8">
      <c r="A7" s="18" t="s">
        <v>335</v>
      </c>
      <c r="B7" s="14"/>
    </row>
    <row r="8" spans="1:8">
      <c r="C8" s="9"/>
    </row>
    <row r="9" spans="1:8">
      <c r="B9" s="10" t="s">
        <v>2</v>
      </c>
    </row>
    <row r="10" spans="1:8" ht="31.5">
      <c r="A10" s="2" t="s">
        <v>69</v>
      </c>
      <c r="B10" s="2" t="s">
        <v>3</v>
      </c>
      <c r="C10" s="2" t="s">
        <v>4</v>
      </c>
      <c r="D10" s="2" t="s">
        <v>21</v>
      </c>
      <c r="E10" s="2" t="s">
        <v>5</v>
      </c>
      <c r="F10" s="2" t="s">
        <v>16</v>
      </c>
      <c r="G10" s="2" t="s">
        <v>1</v>
      </c>
      <c r="H10" s="2" t="s">
        <v>7</v>
      </c>
    </row>
    <row r="11" spans="1:8" ht="31.5">
      <c r="A11" s="36" t="s">
        <v>332</v>
      </c>
      <c r="B11" s="20" t="s">
        <v>339</v>
      </c>
      <c r="C11" s="8" t="s">
        <v>304</v>
      </c>
      <c r="D11" s="15">
        <v>46230</v>
      </c>
      <c r="E11" s="22">
        <v>395000</v>
      </c>
      <c r="F11" s="8"/>
      <c r="G11" s="8"/>
      <c r="H11" s="8"/>
    </row>
    <row r="12" spans="1:8">
      <c r="A12" s="36"/>
      <c r="B12" s="20"/>
      <c r="C12" s="8"/>
      <c r="D12" s="15"/>
      <c r="E12" s="22"/>
      <c r="F12" s="8"/>
      <c r="G12" s="8"/>
      <c r="H12" s="8"/>
    </row>
    <row r="13" spans="1:8" s="23" customFormat="1">
      <c r="A13" s="36"/>
      <c r="B13" s="20"/>
      <c r="C13" s="8"/>
      <c r="D13" s="15"/>
      <c r="E13" s="22"/>
      <c r="F13" s="27"/>
      <c r="G13" s="26"/>
      <c r="H13" s="26"/>
    </row>
    <row r="14" spans="1:8" s="23" customFormat="1">
      <c r="A14" s="36"/>
      <c r="B14" s="20"/>
      <c r="C14" s="8"/>
      <c r="D14" s="15"/>
      <c r="E14" s="22"/>
      <c r="F14" s="25"/>
      <c r="G14" s="26"/>
      <c r="H14" s="26"/>
    </row>
    <row r="15" spans="1:8" s="23" customFormat="1">
      <c r="A15" s="36"/>
      <c r="B15" s="20"/>
      <c r="C15" s="8"/>
      <c r="D15" s="15"/>
      <c r="E15" s="22"/>
      <c r="F15" s="25"/>
      <c r="G15" s="26"/>
      <c r="H15" s="26"/>
    </row>
    <row r="16" spans="1:8" s="23" customFormat="1">
      <c r="A16" s="36"/>
      <c r="B16" s="20"/>
      <c r="C16" s="8"/>
      <c r="D16" s="15"/>
      <c r="E16" s="22"/>
      <c r="F16" s="30"/>
      <c r="G16" s="26"/>
      <c r="H16" s="26"/>
    </row>
    <row r="17" spans="1:8" s="23" customFormat="1">
      <c r="A17" s="36"/>
      <c r="B17" s="30"/>
      <c r="C17" s="31"/>
      <c r="D17" s="15"/>
      <c r="E17" s="29"/>
      <c r="F17" s="30"/>
      <c r="G17" s="26"/>
      <c r="H17" s="26"/>
    </row>
    <row r="18" spans="1:8" s="23" customFormat="1">
      <c r="A18" s="33"/>
      <c r="B18" s="20"/>
      <c r="C18" s="31"/>
      <c r="D18" s="15"/>
      <c r="E18" s="29"/>
      <c r="F18" s="30"/>
      <c r="G18" s="26"/>
      <c r="H18" s="26"/>
    </row>
    <row r="19" spans="1:8" s="23" customFormat="1">
      <c r="A19" s="33"/>
      <c r="B19" s="20"/>
      <c r="C19" s="31"/>
      <c r="D19" s="15"/>
      <c r="E19" s="29"/>
      <c r="F19" s="30"/>
      <c r="G19" s="26"/>
      <c r="H19" s="26"/>
    </row>
    <row r="20" spans="1:8" s="23" customFormat="1">
      <c r="A20" s="33"/>
      <c r="B20" s="20"/>
      <c r="C20" s="31"/>
      <c r="D20" s="15"/>
      <c r="E20" s="29"/>
      <c r="F20" s="20"/>
      <c r="G20" s="26"/>
      <c r="H20" s="26"/>
    </row>
    <row r="21" spans="1:8" s="23" customFormat="1">
      <c r="A21" s="33"/>
      <c r="B21" s="20"/>
      <c r="C21" s="31"/>
      <c r="D21" s="15"/>
      <c r="E21" s="29"/>
      <c r="F21" s="20"/>
      <c r="G21" s="26"/>
      <c r="H21" s="26"/>
    </row>
    <row r="22" spans="1:8" s="23" customFormat="1">
      <c r="A22" s="33"/>
      <c r="B22" s="20"/>
      <c r="C22" s="31"/>
      <c r="D22" s="28"/>
      <c r="E22" s="29"/>
      <c r="F22" s="20"/>
      <c r="G22" s="26"/>
      <c r="H22" s="26"/>
    </row>
    <row r="23" spans="1:8" s="23" customFormat="1">
      <c r="A23" s="34"/>
      <c r="B23" s="30"/>
      <c r="C23" s="31"/>
      <c r="D23" s="28"/>
      <c r="E23" s="29"/>
      <c r="F23" s="30"/>
      <c r="G23" s="26"/>
      <c r="H23" s="26"/>
    </row>
    <row r="24" spans="1:8" s="23" customFormat="1">
      <c r="A24" s="34"/>
      <c r="B24" s="30"/>
      <c r="C24" s="31"/>
      <c r="D24" s="28"/>
      <c r="E24" s="29"/>
      <c r="F24" s="30"/>
      <c r="G24" s="26"/>
      <c r="H24" s="26"/>
    </row>
    <row r="25" spans="1:8">
      <c r="A25" s="33"/>
      <c r="B25" s="6"/>
      <c r="C25" s="16"/>
      <c r="D25" s="11"/>
      <c r="E25" s="12"/>
      <c r="F25" s="6"/>
      <c r="G25" s="3"/>
      <c r="H25" s="3"/>
    </row>
    <row r="26" spans="1:8">
      <c r="A26" s="33"/>
      <c r="B26" s="6"/>
      <c r="C26" s="16"/>
      <c r="D26" s="11"/>
      <c r="E26" s="12"/>
      <c r="F26" s="6"/>
      <c r="G26" s="3"/>
      <c r="H26" s="3"/>
    </row>
    <row r="27" spans="1:8">
      <c r="A27" s="33"/>
      <c r="B27" s="6"/>
      <c r="C27" s="16"/>
      <c r="D27" s="11"/>
      <c r="E27" s="12"/>
      <c r="F27" s="6"/>
      <c r="G27" s="3"/>
      <c r="H27" s="3"/>
    </row>
    <row r="28" spans="1:8">
      <c r="A28" s="33"/>
      <c r="B28" s="6"/>
      <c r="C28" s="8"/>
      <c r="D28" s="11"/>
      <c r="E28" s="12"/>
      <c r="F28" s="6"/>
      <c r="G28" s="3"/>
      <c r="H28" s="3"/>
    </row>
    <row r="29" spans="1:8">
      <c r="A29" s="33"/>
      <c r="B29" s="6"/>
      <c r="C29" s="8"/>
      <c r="D29" s="11"/>
      <c r="E29" s="12"/>
      <c r="F29" s="6"/>
      <c r="G29" s="3"/>
      <c r="H29" s="3"/>
    </row>
    <row r="30" spans="1:8">
      <c r="A30" s="33"/>
      <c r="B30" s="6"/>
      <c r="C30" s="8"/>
      <c r="D30" s="11"/>
      <c r="E30" s="12"/>
      <c r="F30" s="6"/>
      <c r="G30" s="3"/>
      <c r="H30" s="3"/>
    </row>
    <row r="31" spans="1:8">
      <c r="A31" s="33"/>
      <c r="B31" s="6"/>
      <c r="C31" s="8"/>
      <c r="D31" s="11"/>
      <c r="E31" s="12"/>
      <c r="F31" s="6"/>
      <c r="G31" s="3"/>
      <c r="H31" s="3"/>
    </row>
    <row r="32" spans="1:8">
      <c r="A32" s="33"/>
      <c r="B32" s="6"/>
      <c r="C32" s="8"/>
      <c r="D32" s="11"/>
      <c r="E32" s="12"/>
      <c r="F32" s="6"/>
      <c r="G32" s="3"/>
      <c r="H32" s="3"/>
    </row>
    <row r="33" spans="1:8">
      <c r="A33" s="33"/>
      <c r="B33" s="6"/>
      <c r="C33" s="8"/>
      <c r="D33" s="11"/>
      <c r="E33" s="12"/>
      <c r="F33" s="6"/>
      <c r="G33" s="3"/>
      <c r="H33" s="3"/>
    </row>
    <row r="34" spans="1:8">
      <c r="A34" s="35"/>
      <c r="B34" s="6"/>
      <c r="C34" s="6"/>
      <c r="D34" s="11"/>
      <c r="E34" s="12"/>
      <c r="F34" s="6"/>
      <c r="G34" s="3"/>
      <c r="H34" s="3"/>
    </row>
    <row r="35" spans="1:8">
      <c r="A35" s="35"/>
      <c r="B35" s="6"/>
      <c r="C35" s="6"/>
      <c r="D35" s="11"/>
      <c r="E35" s="12"/>
      <c r="F35" s="6"/>
      <c r="G35" s="3"/>
      <c r="H35" s="3"/>
    </row>
    <row r="36" spans="1:8">
      <c r="A36" s="35"/>
      <c r="B36" s="6"/>
      <c r="C36" s="6"/>
      <c r="D36" s="11"/>
      <c r="E36" s="12"/>
      <c r="F36" s="6"/>
      <c r="G36" s="3"/>
      <c r="H36" s="3"/>
    </row>
    <row r="37" spans="1:8">
      <c r="A37" s="6"/>
      <c r="B37" s="6"/>
      <c r="C37" s="6"/>
      <c r="D37" s="11"/>
      <c r="E37" s="12"/>
      <c r="F37" s="6"/>
      <c r="G37" s="3"/>
      <c r="H37" s="3"/>
    </row>
    <row r="38" spans="1:8">
      <c r="A38" s="6"/>
      <c r="B38" s="6"/>
      <c r="C38" s="6"/>
      <c r="D38" s="11"/>
      <c r="E38" s="12"/>
      <c r="F38" s="6"/>
      <c r="G38" s="3"/>
      <c r="H38" s="3"/>
    </row>
    <row r="39" spans="1:8">
      <c r="A39" s="6"/>
      <c r="B39" s="6"/>
      <c r="C39" s="6"/>
      <c r="D39" s="11"/>
      <c r="E39" s="12"/>
      <c r="F39" s="6"/>
      <c r="G39" s="3"/>
      <c r="H39" s="3"/>
    </row>
    <row r="40" spans="1:8">
      <c r="A40" s="6"/>
      <c r="B40" s="6"/>
      <c r="C40" s="17"/>
      <c r="D40" s="11"/>
      <c r="E40" s="12"/>
      <c r="F40" s="6"/>
      <c r="G40" s="3"/>
      <c r="H40" s="3"/>
    </row>
    <row r="41" spans="1:8">
      <c r="A41" s="6"/>
      <c r="B41" s="6"/>
      <c r="C41" s="17"/>
      <c r="D41" s="11"/>
      <c r="E41" s="7"/>
      <c r="F41" s="6"/>
      <c r="G41" s="3"/>
      <c r="H41" s="3"/>
    </row>
    <row r="42" spans="1:8">
      <c r="A42" s="7"/>
      <c r="B42" s="6"/>
      <c r="C42" s="17"/>
      <c r="D42" s="11"/>
      <c r="E42" s="7"/>
      <c r="F42" s="6"/>
      <c r="G42" s="3"/>
      <c r="H42" s="3"/>
    </row>
    <row r="43" spans="1:8">
      <c r="A43" s="7"/>
      <c r="B43" s="6"/>
      <c r="C43" s="17"/>
      <c r="D43" s="11"/>
      <c r="E43" s="7"/>
      <c r="F43" s="6"/>
      <c r="G43" s="3"/>
      <c r="H43" s="3"/>
    </row>
    <row r="44" spans="1:8">
      <c r="A44" s="7"/>
      <c r="B44" s="6"/>
      <c r="C44" s="17"/>
      <c r="D44" s="11"/>
      <c r="E44" s="3"/>
      <c r="F44" s="6"/>
      <c r="G44" s="3"/>
      <c r="H44" s="3"/>
    </row>
    <row r="45" spans="1:8">
      <c r="A45" s="7"/>
      <c r="B45" s="6"/>
      <c r="C45" s="17"/>
      <c r="D45" s="6"/>
      <c r="E45" s="3"/>
      <c r="F45" s="6"/>
      <c r="G45" s="3"/>
      <c r="H45" s="3"/>
    </row>
  </sheetData>
  <pageMargins left="0.51181102362204722" right="0.51181102362204722" top="0.55118110236220474" bottom="0.55118110236220474" header="0.31496062992125984" footer="0.31496062992125984"/>
  <pageSetup scale="66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5"/>
  <sheetViews>
    <sheetView view="pageBreakPreview" topLeftCell="A4" zoomScale="130" zoomScaleNormal="120" zoomScaleSheetLayoutView="130" workbookViewId="0">
      <selection activeCell="B12" sqref="B12"/>
    </sheetView>
  </sheetViews>
  <sheetFormatPr baseColWidth="10" defaultRowHeight="15.75"/>
  <cols>
    <col min="1" max="1" width="15.42578125" style="19" customWidth="1"/>
    <col min="2" max="2" width="29.140625" style="10" customWidth="1"/>
    <col min="3" max="3" width="29.5703125" style="4" customWidth="1"/>
    <col min="4" max="4" width="15" style="10" customWidth="1"/>
    <col min="5" max="5" width="19.85546875" style="1" customWidth="1"/>
    <col min="6" max="6" width="28.5703125" style="10" customWidth="1"/>
    <col min="7" max="7" width="13.28515625" style="1" customWidth="1"/>
    <col min="8" max="8" width="18.5703125" style="1" customWidth="1"/>
    <col min="9" max="16384" width="11.42578125" style="1"/>
  </cols>
  <sheetData>
    <row r="2" spans="1:8">
      <c r="A2" s="18" t="s">
        <v>336</v>
      </c>
      <c r="B2" s="14"/>
    </row>
    <row r="3" spans="1:8">
      <c r="A3" s="18" t="s">
        <v>111</v>
      </c>
      <c r="B3" s="14"/>
    </row>
    <row r="4" spans="1:8">
      <c r="A4" s="18" t="s">
        <v>112</v>
      </c>
      <c r="B4" s="14"/>
    </row>
    <row r="5" spans="1:8">
      <c r="A5" s="18" t="s">
        <v>119</v>
      </c>
      <c r="B5" s="14"/>
    </row>
    <row r="6" spans="1:8">
      <c r="A6" s="18" t="s">
        <v>337</v>
      </c>
      <c r="B6" s="14"/>
    </row>
    <row r="7" spans="1:8">
      <c r="A7" s="18" t="s">
        <v>338</v>
      </c>
      <c r="B7" s="14"/>
    </row>
    <row r="8" spans="1:8">
      <c r="C8" s="9"/>
    </row>
    <row r="9" spans="1:8">
      <c r="B9" s="10" t="s">
        <v>2</v>
      </c>
    </row>
    <row r="10" spans="1:8" ht="31.5">
      <c r="A10" s="2" t="s">
        <v>69</v>
      </c>
      <c r="B10" s="2" t="s">
        <v>3</v>
      </c>
      <c r="C10" s="2" t="s">
        <v>4</v>
      </c>
      <c r="D10" s="2" t="s">
        <v>21</v>
      </c>
      <c r="E10" s="2" t="s">
        <v>5</v>
      </c>
      <c r="F10" s="2" t="s">
        <v>16</v>
      </c>
      <c r="G10" s="2" t="s">
        <v>1</v>
      </c>
      <c r="H10" s="2" t="s">
        <v>7</v>
      </c>
    </row>
    <row r="11" spans="1:8" ht="31.5">
      <c r="A11" s="36" t="s">
        <v>332</v>
      </c>
      <c r="B11" s="20" t="s">
        <v>339</v>
      </c>
      <c r="C11" s="8" t="s">
        <v>304</v>
      </c>
      <c r="D11" s="15">
        <v>46230</v>
      </c>
      <c r="E11" s="22">
        <v>460000</v>
      </c>
      <c r="F11" s="8" t="s">
        <v>2</v>
      </c>
      <c r="G11" s="8"/>
      <c r="H11" s="8"/>
    </row>
    <row r="12" spans="1:8">
      <c r="A12" s="36"/>
      <c r="B12" s="20"/>
      <c r="C12" s="8"/>
      <c r="D12" s="15"/>
      <c r="E12" s="22"/>
      <c r="F12" s="8"/>
      <c r="G12" s="8"/>
      <c r="H12" s="8"/>
    </row>
    <row r="13" spans="1:8" s="23" customFormat="1">
      <c r="A13" s="36"/>
      <c r="B13" s="20"/>
      <c r="C13" s="8"/>
      <c r="D13" s="15"/>
      <c r="E13" s="22"/>
      <c r="F13" s="27"/>
      <c r="G13" s="26"/>
      <c r="H13" s="26"/>
    </row>
    <row r="14" spans="1:8" s="23" customFormat="1">
      <c r="A14" s="36"/>
      <c r="B14" s="20"/>
      <c r="C14" s="8"/>
      <c r="D14" s="15"/>
      <c r="E14" s="22"/>
      <c r="F14" s="25"/>
      <c r="G14" s="26"/>
      <c r="H14" s="26"/>
    </row>
    <row r="15" spans="1:8" s="23" customFormat="1">
      <c r="A15" s="36"/>
      <c r="B15" s="20"/>
      <c r="C15" s="8"/>
      <c r="D15" s="15"/>
      <c r="E15" s="22"/>
      <c r="F15" s="25"/>
      <c r="G15" s="26"/>
      <c r="H15" s="26"/>
    </row>
    <row r="16" spans="1:8" s="23" customFormat="1">
      <c r="A16" s="36"/>
      <c r="B16" s="20"/>
      <c r="C16" s="8"/>
      <c r="D16" s="15"/>
      <c r="E16" s="22"/>
      <c r="F16" s="30"/>
      <c r="G16" s="26"/>
      <c r="H16" s="26"/>
    </row>
    <row r="17" spans="1:8" s="23" customFormat="1">
      <c r="A17" s="36"/>
      <c r="B17" s="30"/>
      <c r="C17" s="31"/>
      <c r="D17" s="15"/>
      <c r="E17" s="29"/>
      <c r="F17" s="30"/>
      <c r="G17" s="26"/>
      <c r="H17" s="26"/>
    </row>
    <row r="18" spans="1:8" s="23" customFormat="1">
      <c r="A18" s="33"/>
      <c r="B18" s="20"/>
      <c r="C18" s="31"/>
      <c r="D18" s="15"/>
      <c r="E18" s="29"/>
      <c r="F18" s="30"/>
      <c r="G18" s="26"/>
      <c r="H18" s="26"/>
    </row>
    <row r="19" spans="1:8" s="23" customFormat="1">
      <c r="A19" s="33"/>
      <c r="B19" s="20"/>
      <c r="C19" s="31"/>
      <c r="D19" s="15"/>
      <c r="E19" s="29"/>
      <c r="F19" s="30"/>
      <c r="G19" s="26"/>
      <c r="H19" s="26"/>
    </row>
    <row r="20" spans="1:8" s="23" customFormat="1">
      <c r="A20" s="33"/>
      <c r="B20" s="20"/>
      <c r="C20" s="31"/>
      <c r="D20" s="15"/>
      <c r="E20" s="29"/>
      <c r="F20" s="20"/>
      <c r="G20" s="26"/>
      <c r="H20" s="26"/>
    </row>
    <row r="21" spans="1:8" s="23" customFormat="1">
      <c r="A21" s="33"/>
      <c r="B21" s="20"/>
      <c r="C21" s="31"/>
      <c r="D21" s="15"/>
      <c r="E21" s="29"/>
      <c r="F21" s="20"/>
      <c r="G21" s="26"/>
      <c r="H21" s="26"/>
    </row>
    <row r="22" spans="1:8" s="23" customFormat="1">
      <c r="A22" s="33"/>
      <c r="B22" s="20"/>
      <c r="C22" s="31"/>
      <c r="D22" s="28"/>
      <c r="E22" s="29"/>
      <c r="F22" s="20"/>
      <c r="G22" s="26"/>
      <c r="H22" s="26"/>
    </row>
    <row r="23" spans="1:8" s="23" customFormat="1">
      <c r="A23" s="34"/>
      <c r="B23" s="30"/>
      <c r="C23" s="31"/>
      <c r="D23" s="28"/>
      <c r="E23" s="29"/>
      <c r="F23" s="30"/>
      <c r="G23" s="26"/>
      <c r="H23" s="26"/>
    </row>
    <row r="24" spans="1:8" s="23" customFormat="1">
      <c r="A24" s="34"/>
      <c r="B24" s="30"/>
      <c r="C24" s="31"/>
      <c r="D24" s="28"/>
      <c r="E24" s="29"/>
      <c r="F24" s="30"/>
      <c r="G24" s="26"/>
      <c r="H24" s="26"/>
    </row>
    <row r="25" spans="1:8">
      <c r="A25" s="33"/>
      <c r="B25" s="6"/>
      <c r="C25" s="16"/>
      <c r="D25" s="11"/>
      <c r="E25" s="12"/>
      <c r="F25" s="6"/>
      <c r="G25" s="3"/>
      <c r="H25" s="3"/>
    </row>
    <row r="26" spans="1:8">
      <c r="A26" s="33"/>
      <c r="B26" s="6"/>
      <c r="C26" s="16"/>
      <c r="D26" s="11"/>
      <c r="E26" s="12"/>
      <c r="F26" s="6"/>
      <c r="G26" s="3"/>
      <c r="H26" s="3"/>
    </row>
    <row r="27" spans="1:8">
      <c r="A27" s="33"/>
      <c r="B27" s="6"/>
      <c r="C27" s="16"/>
      <c r="D27" s="11"/>
      <c r="E27" s="12"/>
      <c r="F27" s="6"/>
      <c r="G27" s="3"/>
      <c r="H27" s="3"/>
    </row>
    <row r="28" spans="1:8">
      <c r="A28" s="33"/>
      <c r="B28" s="6"/>
      <c r="C28" s="8"/>
      <c r="D28" s="11"/>
      <c r="E28" s="12"/>
      <c r="F28" s="6"/>
      <c r="G28" s="3"/>
      <c r="H28" s="3"/>
    </row>
    <row r="29" spans="1:8">
      <c r="A29" s="33"/>
      <c r="B29" s="6"/>
      <c r="C29" s="8"/>
      <c r="D29" s="11"/>
      <c r="E29" s="12"/>
      <c r="F29" s="6"/>
      <c r="G29" s="3"/>
      <c r="H29" s="3"/>
    </row>
    <row r="30" spans="1:8">
      <c r="A30" s="33"/>
      <c r="B30" s="6"/>
      <c r="C30" s="8"/>
      <c r="D30" s="11"/>
      <c r="E30" s="12"/>
      <c r="F30" s="6"/>
      <c r="G30" s="3"/>
      <c r="H30" s="3"/>
    </row>
    <row r="31" spans="1:8">
      <c r="A31" s="33"/>
      <c r="B31" s="6"/>
      <c r="C31" s="8"/>
      <c r="D31" s="11"/>
      <c r="E31" s="12"/>
      <c r="F31" s="6"/>
      <c r="G31" s="3"/>
      <c r="H31" s="3"/>
    </row>
    <row r="32" spans="1:8">
      <c r="A32" s="33"/>
      <c r="B32" s="6"/>
      <c r="C32" s="8"/>
      <c r="D32" s="11"/>
      <c r="E32" s="12"/>
      <c r="F32" s="6"/>
      <c r="G32" s="3"/>
      <c r="H32" s="3"/>
    </row>
    <row r="33" spans="1:8">
      <c r="A33" s="33"/>
      <c r="B33" s="6"/>
      <c r="C33" s="8"/>
      <c r="D33" s="11"/>
      <c r="E33" s="12"/>
      <c r="F33" s="6"/>
      <c r="G33" s="3"/>
      <c r="H33" s="3"/>
    </row>
    <row r="34" spans="1:8">
      <c r="A34" s="35"/>
      <c r="B34" s="6"/>
      <c r="C34" s="6"/>
      <c r="D34" s="11"/>
      <c r="E34" s="12"/>
      <c r="F34" s="6"/>
      <c r="G34" s="3"/>
      <c r="H34" s="3"/>
    </row>
    <row r="35" spans="1:8">
      <c r="A35" s="35"/>
      <c r="B35" s="6"/>
      <c r="C35" s="6"/>
      <c r="D35" s="11"/>
      <c r="E35" s="12"/>
      <c r="F35" s="6"/>
      <c r="G35" s="3"/>
      <c r="H35" s="3"/>
    </row>
    <row r="36" spans="1:8">
      <c r="A36" s="35"/>
      <c r="B36" s="6"/>
      <c r="C36" s="6"/>
      <c r="D36" s="11"/>
      <c r="E36" s="12"/>
      <c r="F36" s="6"/>
      <c r="G36" s="3"/>
      <c r="H36" s="3"/>
    </row>
    <row r="37" spans="1:8">
      <c r="A37" s="6"/>
      <c r="B37" s="6"/>
      <c r="C37" s="6"/>
      <c r="D37" s="11"/>
      <c r="E37" s="12"/>
      <c r="F37" s="6"/>
      <c r="G37" s="3"/>
      <c r="H37" s="3"/>
    </row>
    <row r="38" spans="1:8">
      <c r="A38" s="6"/>
      <c r="B38" s="6"/>
      <c r="C38" s="6"/>
      <c r="D38" s="11"/>
      <c r="E38" s="12"/>
      <c r="F38" s="6"/>
      <c r="G38" s="3"/>
      <c r="H38" s="3"/>
    </row>
    <row r="39" spans="1:8">
      <c r="A39" s="6"/>
      <c r="B39" s="6"/>
      <c r="C39" s="6"/>
      <c r="D39" s="11"/>
      <c r="E39" s="12"/>
      <c r="F39" s="6"/>
      <c r="G39" s="3"/>
      <c r="H39" s="3"/>
    </row>
    <row r="40" spans="1:8">
      <c r="A40" s="6"/>
      <c r="B40" s="6"/>
      <c r="C40" s="17"/>
      <c r="D40" s="11"/>
      <c r="E40" s="12"/>
      <c r="F40" s="6"/>
      <c r="G40" s="3"/>
      <c r="H40" s="3"/>
    </row>
    <row r="41" spans="1:8">
      <c r="A41" s="6"/>
      <c r="B41" s="6"/>
      <c r="C41" s="17"/>
      <c r="D41" s="11"/>
      <c r="E41" s="7"/>
      <c r="F41" s="6"/>
      <c r="G41" s="3"/>
      <c r="H41" s="3"/>
    </row>
    <row r="42" spans="1:8">
      <c r="A42" s="7"/>
      <c r="B42" s="6"/>
      <c r="C42" s="17"/>
      <c r="D42" s="11"/>
      <c r="E42" s="7"/>
      <c r="F42" s="6"/>
      <c r="G42" s="3"/>
      <c r="H42" s="3"/>
    </row>
    <row r="43" spans="1:8">
      <c r="A43" s="7"/>
      <c r="B43" s="6"/>
      <c r="C43" s="17"/>
      <c r="D43" s="11"/>
      <c r="E43" s="7"/>
      <c r="F43" s="6"/>
      <c r="G43" s="3"/>
      <c r="H43" s="3"/>
    </row>
    <row r="44" spans="1:8">
      <c r="A44" s="7"/>
      <c r="B44" s="6"/>
      <c r="C44" s="17"/>
      <c r="D44" s="11"/>
      <c r="E44" s="3"/>
      <c r="F44" s="6"/>
      <c r="G44" s="3"/>
      <c r="H44" s="3"/>
    </row>
    <row r="45" spans="1:8">
      <c r="A45" s="7"/>
      <c r="B45" s="6"/>
      <c r="C45" s="17"/>
      <c r="D45" s="6"/>
      <c r="E45" s="3"/>
      <c r="F45" s="6"/>
      <c r="G45" s="3"/>
      <c r="H45" s="3"/>
    </row>
  </sheetData>
  <pageMargins left="0.51181102362204722" right="0.51181102362204722" top="0.55118110236220474" bottom="0.55118110236220474" header="0.31496062992125984" footer="0.31496062992125984"/>
  <pageSetup scale="66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view="pageBreakPreview" topLeftCell="A4" zoomScale="70" zoomScaleNormal="120" zoomScaleSheetLayoutView="70" workbookViewId="0">
      <selection activeCell="F6" sqref="F6"/>
    </sheetView>
  </sheetViews>
  <sheetFormatPr baseColWidth="10" defaultRowHeight="18"/>
  <cols>
    <col min="1" max="1" width="29.42578125" style="104" customWidth="1"/>
    <col min="2" max="2" width="35.85546875" style="47" customWidth="1"/>
    <col min="3" max="3" width="37.5703125" style="46" customWidth="1"/>
    <col min="4" max="4" width="27.42578125" style="47" customWidth="1"/>
    <col min="5" max="5" width="26.42578125" style="48" customWidth="1"/>
    <col min="6" max="6" width="23.42578125" style="48" customWidth="1"/>
    <col min="7" max="7" width="31.42578125" style="48" customWidth="1"/>
    <col min="8" max="16384" width="11.42578125" style="48"/>
  </cols>
  <sheetData>
    <row r="1" spans="1:7" s="117" customFormat="1" ht="46.5">
      <c r="A1" s="540" t="s">
        <v>817</v>
      </c>
      <c r="B1" s="540"/>
      <c r="C1" s="540"/>
      <c r="D1" s="540"/>
      <c r="E1" s="540"/>
      <c r="F1" s="540"/>
      <c r="G1" s="540"/>
    </row>
    <row r="2" spans="1:7" s="117" customFormat="1" ht="18.75">
      <c r="A2" s="123"/>
      <c r="B2" s="125"/>
      <c r="C2" s="124"/>
      <c r="D2" s="125"/>
    </row>
    <row r="3" spans="1:7" s="117" customFormat="1" ht="18.75">
      <c r="A3" s="123"/>
      <c r="B3" s="125" t="s">
        <v>2</v>
      </c>
      <c r="C3" s="124"/>
      <c r="D3" s="125"/>
    </row>
    <row r="4" spans="1:7" s="117" customFormat="1" ht="73.5">
      <c r="A4" s="190" t="s">
        <v>69</v>
      </c>
      <c r="B4" s="190" t="s">
        <v>3</v>
      </c>
      <c r="C4" s="190" t="s">
        <v>4</v>
      </c>
      <c r="D4" s="190" t="s">
        <v>21</v>
      </c>
      <c r="E4" s="190" t="s">
        <v>5</v>
      </c>
      <c r="F4" s="190" t="s">
        <v>1</v>
      </c>
      <c r="G4" s="190" t="s">
        <v>7</v>
      </c>
    </row>
    <row r="5" spans="1:7" ht="94.5">
      <c r="A5" s="235">
        <v>46181</v>
      </c>
      <c r="B5" s="225" t="s">
        <v>327</v>
      </c>
      <c r="C5" s="171" t="s">
        <v>328</v>
      </c>
      <c r="D5" s="235">
        <v>46181</v>
      </c>
      <c r="E5" s="505">
        <v>40000</v>
      </c>
      <c r="F5" s="171"/>
      <c r="G5" s="171"/>
    </row>
    <row r="6" spans="1:7" ht="63">
      <c r="A6" s="223" t="s">
        <v>310</v>
      </c>
      <c r="B6" s="225" t="s">
        <v>819</v>
      </c>
      <c r="C6" s="171" t="s">
        <v>315</v>
      </c>
      <c r="D6" s="235">
        <v>46202</v>
      </c>
      <c r="E6" s="505">
        <v>30000</v>
      </c>
      <c r="F6" s="171"/>
      <c r="G6" s="171"/>
    </row>
    <row r="7" spans="1:7" ht="63">
      <c r="A7" s="223" t="s">
        <v>818</v>
      </c>
      <c r="B7" s="225" t="s">
        <v>820</v>
      </c>
      <c r="C7" s="171" t="s">
        <v>315</v>
      </c>
      <c r="D7" s="235">
        <v>46234</v>
      </c>
      <c r="E7" s="505">
        <v>30000</v>
      </c>
      <c r="F7" s="171"/>
      <c r="G7" s="171"/>
    </row>
    <row r="8" spans="1:7" s="108" customFormat="1" ht="31.5">
      <c r="A8" s="223"/>
      <c r="B8" s="225"/>
      <c r="C8" s="171"/>
      <c r="D8" s="235"/>
      <c r="E8" s="204"/>
      <c r="F8" s="202"/>
      <c r="G8" s="202"/>
    </row>
    <row r="9" spans="1:7" s="108" customFormat="1" ht="31.5">
      <c r="A9" s="223"/>
      <c r="B9" s="225"/>
      <c r="C9" s="171"/>
      <c r="D9" s="235"/>
      <c r="E9" s="204"/>
      <c r="F9" s="202"/>
      <c r="G9" s="202"/>
    </row>
    <row r="10" spans="1:7" s="108" customFormat="1" ht="31.5">
      <c r="A10" s="223"/>
      <c r="B10" s="225"/>
      <c r="C10" s="171"/>
      <c r="D10" s="235"/>
      <c r="E10" s="204"/>
      <c r="F10" s="202"/>
      <c r="G10" s="202"/>
    </row>
    <row r="11" spans="1:7" s="108" customFormat="1" ht="31.5">
      <c r="A11" s="223"/>
      <c r="B11" s="225"/>
      <c r="C11" s="253"/>
      <c r="D11" s="235"/>
      <c r="E11" s="204"/>
      <c r="F11" s="202"/>
      <c r="G11" s="202"/>
    </row>
    <row r="12" spans="1:7" ht="31.5">
      <c r="A12" s="220"/>
      <c r="B12" s="187"/>
      <c r="C12" s="186"/>
      <c r="D12" s="187"/>
      <c r="E12" s="185"/>
      <c r="F12" s="185"/>
      <c r="G12" s="185"/>
    </row>
  </sheetData>
  <mergeCells count="1">
    <mergeCell ref="A1:G1"/>
  </mergeCells>
  <pageMargins left="0.25" right="0.25" top="0.75" bottom="0.75" header="0.3" footer="0.3"/>
  <pageSetup scale="48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5"/>
  <sheetViews>
    <sheetView view="pageBreakPreview" zoomScale="130" zoomScaleNormal="120" zoomScaleSheetLayoutView="130" workbookViewId="0">
      <selection activeCell="B12" sqref="B12"/>
    </sheetView>
  </sheetViews>
  <sheetFormatPr baseColWidth="10" defaultRowHeight="15.75"/>
  <cols>
    <col min="1" max="1" width="15.42578125" style="19" customWidth="1"/>
    <col min="2" max="2" width="29.140625" style="10" customWidth="1"/>
    <col min="3" max="3" width="29.5703125" style="4" customWidth="1"/>
    <col min="4" max="4" width="15" style="10" customWidth="1"/>
    <col min="5" max="5" width="19.85546875" style="1" customWidth="1"/>
    <col min="6" max="6" width="28.5703125" style="10" customWidth="1"/>
    <col min="7" max="7" width="13.28515625" style="1" customWidth="1"/>
    <col min="8" max="8" width="18.5703125" style="1" customWidth="1"/>
    <col min="9" max="16384" width="11.42578125" style="1"/>
  </cols>
  <sheetData>
    <row r="2" spans="1:8">
      <c r="A2" s="18" t="s">
        <v>316</v>
      </c>
      <c r="B2" s="14"/>
    </row>
    <row r="3" spans="1:8">
      <c r="A3" s="18" t="s">
        <v>111</v>
      </c>
      <c r="B3" s="14"/>
    </row>
    <row r="4" spans="1:8">
      <c r="A4" s="18" t="s">
        <v>112</v>
      </c>
      <c r="B4" s="14"/>
    </row>
    <row r="5" spans="1:8">
      <c r="A5" s="18" t="s">
        <v>119</v>
      </c>
      <c r="B5" s="14"/>
    </row>
    <row r="6" spans="1:8">
      <c r="A6" s="18" t="s">
        <v>317</v>
      </c>
      <c r="B6" s="14"/>
    </row>
    <row r="7" spans="1:8">
      <c r="A7" s="18" t="s">
        <v>318</v>
      </c>
      <c r="B7" s="14"/>
    </row>
    <row r="8" spans="1:8">
      <c r="C8" s="9"/>
    </row>
    <row r="9" spans="1:8">
      <c r="B9" s="10" t="s">
        <v>2</v>
      </c>
    </row>
    <row r="10" spans="1:8" ht="31.5">
      <c r="A10" s="2" t="s">
        <v>69</v>
      </c>
      <c r="B10" s="2" t="s">
        <v>3</v>
      </c>
      <c r="C10" s="2" t="s">
        <v>4</v>
      </c>
      <c r="D10" s="2" t="s">
        <v>21</v>
      </c>
      <c r="E10" s="2" t="s">
        <v>5</v>
      </c>
      <c r="F10" s="2" t="s">
        <v>16</v>
      </c>
      <c r="G10" s="2" t="s">
        <v>1</v>
      </c>
      <c r="H10" s="2" t="s">
        <v>7</v>
      </c>
    </row>
    <row r="11" spans="1:8" ht="31.5">
      <c r="A11" s="36" t="s">
        <v>267</v>
      </c>
      <c r="B11" s="20" t="s">
        <v>319</v>
      </c>
      <c r="C11" s="8" t="s">
        <v>321</v>
      </c>
      <c r="D11" s="15">
        <v>46202</v>
      </c>
      <c r="E11" s="22">
        <v>120000</v>
      </c>
      <c r="F11" s="8"/>
      <c r="G11" s="8"/>
      <c r="H11" s="8"/>
    </row>
    <row r="12" spans="1:8">
      <c r="A12" s="36"/>
      <c r="B12" s="20"/>
      <c r="C12" s="8"/>
      <c r="D12" s="15"/>
      <c r="E12" s="22"/>
      <c r="F12" s="8"/>
      <c r="G12" s="8"/>
      <c r="H12" s="8"/>
    </row>
    <row r="13" spans="1:8" s="23" customFormat="1">
      <c r="A13" s="36"/>
      <c r="B13" s="20"/>
      <c r="C13" s="8"/>
      <c r="D13" s="15"/>
      <c r="E13" s="22"/>
      <c r="F13" s="27"/>
      <c r="G13" s="26"/>
      <c r="H13" s="26"/>
    </row>
    <row r="14" spans="1:8" s="23" customFormat="1">
      <c r="A14" s="36"/>
      <c r="B14" s="20"/>
      <c r="C14" s="8"/>
      <c r="D14" s="15"/>
      <c r="E14" s="22"/>
      <c r="F14" s="25"/>
      <c r="G14" s="26"/>
      <c r="H14" s="26"/>
    </row>
    <row r="15" spans="1:8" s="23" customFormat="1">
      <c r="A15" s="36"/>
      <c r="B15" s="20"/>
      <c r="C15" s="8"/>
      <c r="D15" s="15"/>
      <c r="E15" s="22"/>
      <c r="F15" s="25"/>
      <c r="G15" s="26"/>
      <c r="H15" s="26"/>
    </row>
    <row r="16" spans="1:8" s="23" customFormat="1">
      <c r="A16" s="36"/>
      <c r="B16" s="20"/>
      <c r="C16" s="31"/>
      <c r="D16" s="15"/>
      <c r="E16" s="22"/>
      <c r="F16" s="30"/>
      <c r="G16" s="26"/>
      <c r="H16" s="26"/>
    </row>
    <row r="17" spans="1:8" s="23" customFormat="1">
      <c r="A17" s="36"/>
      <c r="B17" s="30"/>
      <c r="C17" s="31"/>
      <c r="D17" s="15"/>
      <c r="E17" s="29"/>
      <c r="F17" s="30"/>
      <c r="G17" s="26"/>
      <c r="H17" s="26"/>
    </row>
    <row r="18" spans="1:8" s="23" customFormat="1">
      <c r="A18" s="33"/>
      <c r="B18" s="20"/>
      <c r="C18" s="31"/>
      <c r="D18" s="15"/>
      <c r="E18" s="29"/>
      <c r="F18" s="30"/>
      <c r="G18" s="26"/>
      <c r="H18" s="26"/>
    </row>
    <row r="19" spans="1:8" s="23" customFormat="1">
      <c r="A19" s="33"/>
      <c r="B19" s="20"/>
      <c r="C19" s="31"/>
      <c r="D19" s="15"/>
      <c r="E19" s="29"/>
      <c r="F19" s="30"/>
      <c r="G19" s="26"/>
      <c r="H19" s="26"/>
    </row>
    <row r="20" spans="1:8" s="23" customFormat="1">
      <c r="A20" s="33"/>
      <c r="B20" s="20"/>
      <c r="C20" s="31"/>
      <c r="D20" s="15"/>
      <c r="E20" s="29"/>
      <c r="F20" s="20"/>
      <c r="G20" s="26"/>
      <c r="H20" s="26"/>
    </row>
    <row r="21" spans="1:8" s="23" customFormat="1">
      <c r="A21" s="33"/>
      <c r="B21" s="20"/>
      <c r="C21" s="31"/>
      <c r="D21" s="15"/>
      <c r="E21" s="29"/>
      <c r="F21" s="20"/>
      <c r="G21" s="26"/>
      <c r="H21" s="26"/>
    </row>
    <row r="22" spans="1:8" s="23" customFormat="1">
      <c r="A22" s="33"/>
      <c r="B22" s="20"/>
      <c r="C22" s="31"/>
      <c r="D22" s="28"/>
      <c r="E22" s="29"/>
      <c r="F22" s="20"/>
      <c r="G22" s="26"/>
      <c r="H22" s="26"/>
    </row>
    <row r="23" spans="1:8" s="23" customFormat="1">
      <c r="A23" s="34"/>
      <c r="B23" s="30"/>
      <c r="C23" s="31"/>
      <c r="D23" s="28"/>
      <c r="E23" s="29"/>
      <c r="F23" s="30"/>
      <c r="G23" s="26"/>
      <c r="H23" s="26"/>
    </row>
    <row r="24" spans="1:8" s="23" customFormat="1">
      <c r="A24" s="34"/>
      <c r="B24" s="30"/>
      <c r="C24" s="31"/>
      <c r="D24" s="28"/>
      <c r="E24" s="29"/>
      <c r="F24" s="30"/>
      <c r="G24" s="26"/>
      <c r="H24" s="26"/>
    </row>
    <row r="25" spans="1:8">
      <c r="A25" s="33"/>
      <c r="B25" s="6"/>
      <c r="C25" s="16"/>
      <c r="D25" s="11"/>
      <c r="E25" s="12"/>
      <c r="F25" s="6"/>
      <c r="G25" s="3"/>
      <c r="H25" s="3"/>
    </row>
    <row r="26" spans="1:8">
      <c r="A26" s="33"/>
      <c r="B26" s="6"/>
      <c r="C26" s="16"/>
      <c r="D26" s="11"/>
      <c r="E26" s="12"/>
      <c r="F26" s="6"/>
      <c r="G26" s="3"/>
      <c r="H26" s="3"/>
    </row>
    <row r="27" spans="1:8">
      <c r="A27" s="33"/>
      <c r="B27" s="6"/>
      <c r="C27" s="16"/>
      <c r="D27" s="11"/>
      <c r="E27" s="12"/>
      <c r="F27" s="6"/>
      <c r="G27" s="3"/>
      <c r="H27" s="3"/>
    </row>
    <row r="28" spans="1:8">
      <c r="A28" s="33"/>
      <c r="B28" s="6"/>
      <c r="C28" s="8"/>
      <c r="D28" s="11"/>
      <c r="E28" s="12"/>
      <c r="F28" s="6"/>
      <c r="G28" s="3"/>
      <c r="H28" s="3"/>
    </row>
    <row r="29" spans="1:8">
      <c r="A29" s="33"/>
      <c r="B29" s="6"/>
      <c r="C29" s="8"/>
      <c r="D29" s="11"/>
      <c r="E29" s="12"/>
      <c r="F29" s="6"/>
      <c r="G29" s="3"/>
      <c r="H29" s="3"/>
    </row>
    <row r="30" spans="1:8">
      <c r="A30" s="33"/>
      <c r="B30" s="6"/>
      <c r="C30" s="8"/>
      <c r="D30" s="11"/>
      <c r="E30" s="12"/>
      <c r="F30" s="6"/>
      <c r="G30" s="3"/>
      <c r="H30" s="3"/>
    </row>
    <row r="31" spans="1:8">
      <c r="A31" s="33"/>
      <c r="B31" s="6"/>
      <c r="C31" s="8"/>
      <c r="D31" s="11"/>
      <c r="E31" s="12"/>
      <c r="F31" s="6"/>
      <c r="G31" s="3"/>
      <c r="H31" s="3"/>
    </row>
    <row r="32" spans="1:8">
      <c r="A32" s="33"/>
      <c r="B32" s="6"/>
      <c r="C32" s="8"/>
      <c r="D32" s="11"/>
      <c r="E32" s="12"/>
      <c r="F32" s="6"/>
      <c r="G32" s="3"/>
      <c r="H32" s="3"/>
    </row>
    <row r="33" spans="1:8">
      <c r="A33" s="33"/>
      <c r="B33" s="6"/>
      <c r="C33" s="8"/>
      <c r="D33" s="11"/>
      <c r="E33" s="12"/>
      <c r="F33" s="6"/>
      <c r="G33" s="3"/>
      <c r="H33" s="3"/>
    </row>
    <row r="34" spans="1:8">
      <c r="A34" s="35"/>
      <c r="B34" s="6"/>
      <c r="C34" s="6"/>
      <c r="D34" s="11"/>
      <c r="E34" s="12"/>
      <c r="F34" s="6"/>
      <c r="G34" s="3"/>
      <c r="H34" s="3"/>
    </row>
    <row r="35" spans="1:8">
      <c r="A35" s="35"/>
      <c r="B35" s="6"/>
      <c r="C35" s="6"/>
      <c r="D35" s="11"/>
      <c r="E35" s="12"/>
      <c r="F35" s="6"/>
      <c r="G35" s="3"/>
      <c r="H35" s="3"/>
    </row>
    <row r="36" spans="1:8">
      <c r="A36" s="35"/>
      <c r="B36" s="6"/>
      <c r="C36" s="6"/>
      <c r="D36" s="11"/>
      <c r="E36" s="12"/>
      <c r="F36" s="6"/>
      <c r="G36" s="3"/>
      <c r="H36" s="3"/>
    </row>
    <row r="37" spans="1:8">
      <c r="A37" s="6"/>
      <c r="B37" s="6"/>
      <c r="C37" s="6"/>
      <c r="D37" s="11"/>
      <c r="E37" s="12"/>
      <c r="F37" s="6"/>
      <c r="G37" s="3"/>
      <c r="H37" s="3"/>
    </row>
    <row r="38" spans="1:8">
      <c r="A38" s="6"/>
      <c r="B38" s="6"/>
      <c r="C38" s="6"/>
      <c r="D38" s="11"/>
      <c r="E38" s="12"/>
      <c r="F38" s="6"/>
      <c r="G38" s="3"/>
      <c r="H38" s="3"/>
    </row>
    <row r="39" spans="1:8">
      <c r="A39" s="6"/>
      <c r="B39" s="6"/>
      <c r="C39" s="6"/>
      <c r="D39" s="11"/>
      <c r="E39" s="12"/>
      <c r="F39" s="6"/>
      <c r="G39" s="3"/>
      <c r="H39" s="3"/>
    </row>
    <row r="40" spans="1:8">
      <c r="A40" s="6"/>
      <c r="B40" s="6"/>
      <c r="C40" s="17"/>
      <c r="D40" s="11"/>
      <c r="E40" s="12"/>
      <c r="F40" s="6"/>
      <c r="G40" s="3"/>
      <c r="H40" s="3"/>
    </row>
    <row r="41" spans="1:8">
      <c r="A41" s="6"/>
      <c r="B41" s="6"/>
      <c r="C41" s="17"/>
      <c r="D41" s="11"/>
      <c r="E41" s="7"/>
      <c r="F41" s="6"/>
      <c r="G41" s="3"/>
      <c r="H41" s="3"/>
    </row>
    <row r="42" spans="1:8">
      <c r="A42" s="7"/>
      <c r="B42" s="6"/>
      <c r="C42" s="17"/>
      <c r="D42" s="11"/>
      <c r="E42" s="7"/>
      <c r="F42" s="6"/>
      <c r="G42" s="3"/>
      <c r="H42" s="3"/>
    </row>
    <row r="43" spans="1:8">
      <c r="A43" s="7"/>
      <c r="B43" s="6"/>
      <c r="C43" s="17"/>
      <c r="D43" s="11"/>
      <c r="E43" s="7"/>
      <c r="F43" s="6"/>
      <c r="G43" s="3"/>
      <c r="H43" s="3"/>
    </row>
    <row r="44" spans="1:8">
      <c r="A44" s="7"/>
      <c r="B44" s="6"/>
      <c r="C44" s="17"/>
      <c r="D44" s="11"/>
      <c r="E44" s="3"/>
      <c r="F44" s="6"/>
      <c r="G44" s="3"/>
      <c r="H44" s="3"/>
    </row>
    <row r="45" spans="1:8">
      <c r="A45" s="7"/>
      <c r="B45" s="6"/>
      <c r="C45" s="17"/>
      <c r="D45" s="6"/>
      <c r="E45" s="3"/>
      <c r="F45" s="6"/>
      <c r="G45" s="3"/>
      <c r="H45" s="3"/>
    </row>
  </sheetData>
  <pageMargins left="0.51181102362204722" right="0.51181102362204722" top="0.55118110236220474" bottom="0.55118110236220474" header="0.31496062992125984" footer="0.31496062992125984"/>
  <pageSetup scale="66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5"/>
  <sheetViews>
    <sheetView view="pageBreakPreview" zoomScale="130" zoomScaleNormal="120" zoomScaleSheetLayoutView="130" workbookViewId="0">
      <selection activeCell="E4" sqref="E4"/>
    </sheetView>
  </sheetViews>
  <sheetFormatPr baseColWidth="10" defaultRowHeight="15.75"/>
  <cols>
    <col min="1" max="1" width="15.42578125" style="19" customWidth="1"/>
    <col min="2" max="2" width="29.140625" style="10" customWidth="1"/>
    <col min="3" max="3" width="29.5703125" style="4" customWidth="1"/>
    <col min="4" max="4" width="15" style="10" customWidth="1"/>
    <col min="5" max="5" width="19.85546875" style="1" customWidth="1"/>
    <col min="6" max="6" width="28.5703125" style="10" customWidth="1"/>
    <col min="7" max="7" width="13.28515625" style="1" customWidth="1"/>
    <col min="8" max="8" width="18.5703125" style="1" customWidth="1"/>
    <col min="9" max="16384" width="11.42578125" style="1"/>
  </cols>
  <sheetData>
    <row r="2" spans="1:8">
      <c r="A2" s="18" t="s">
        <v>322</v>
      </c>
      <c r="B2" s="14"/>
    </row>
    <row r="3" spans="1:8">
      <c r="A3" s="18" t="s">
        <v>111</v>
      </c>
      <c r="B3" s="14"/>
    </row>
    <row r="4" spans="1:8">
      <c r="A4" s="18" t="s">
        <v>112</v>
      </c>
      <c r="B4" s="14"/>
    </row>
    <row r="5" spans="1:8">
      <c r="A5" s="18" t="s">
        <v>119</v>
      </c>
      <c r="B5" s="14"/>
    </row>
    <row r="6" spans="1:8">
      <c r="A6" s="18" t="s">
        <v>216</v>
      </c>
      <c r="B6" s="14"/>
    </row>
    <row r="7" spans="1:8">
      <c r="A7" s="18" t="s">
        <v>323</v>
      </c>
      <c r="B7" s="14"/>
    </row>
    <row r="8" spans="1:8">
      <c r="C8" s="9"/>
    </row>
    <row r="9" spans="1:8">
      <c r="B9" s="10" t="s">
        <v>2</v>
      </c>
    </row>
    <row r="10" spans="1:8" ht="31.5">
      <c r="A10" s="2" t="s">
        <v>69</v>
      </c>
      <c r="B10" s="2" t="s">
        <v>3</v>
      </c>
      <c r="C10" s="2" t="s">
        <v>4</v>
      </c>
      <c r="D10" s="2" t="s">
        <v>21</v>
      </c>
      <c r="E10" s="2" t="s">
        <v>5</v>
      </c>
      <c r="F10" s="2" t="s">
        <v>16</v>
      </c>
      <c r="G10" s="2" t="s">
        <v>1</v>
      </c>
      <c r="H10" s="2" t="s">
        <v>7</v>
      </c>
    </row>
    <row r="11" spans="1:8">
      <c r="A11" s="36" t="s">
        <v>191</v>
      </c>
      <c r="B11" s="20" t="s">
        <v>324</v>
      </c>
      <c r="C11" s="8" t="s">
        <v>315</v>
      </c>
      <c r="D11" s="15">
        <v>46076</v>
      </c>
      <c r="E11" s="22">
        <v>85000</v>
      </c>
      <c r="F11" s="8"/>
      <c r="G11" s="8"/>
      <c r="H11" s="8"/>
    </row>
    <row r="12" spans="1:8">
      <c r="A12" s="36"/>
      <c r="B12" s="20"/>
      <c r="C12" s="8"/>
      <c r="D12" s="15"/>
      <c r="E12" s="22"/>
      <c r="F12" s="8"/>
      <c r="G12" s="8"/>
      <c r="H12" s="8"/>
    </row>
    <row r="13" spans="1:8" s="23" customFormat="1">
      <c r="A13" s="36"/>
      <c r="B13" s="20"/>
      <c r="C13" s="8"/>
      <c r="D13" s="15"/>
      <c r="E13" s="22"/>
      <c r="F13" s="27"/>
      <c r="G13" s="26"/>
      <c r="H13" s="26"/>
    </row>
    <row r="14" spans="1:8" s="23" customFormat="1">
      <c r="A14" s="36"/>
      <c r="B14" s="20"/>
      <c r="C14" s="8"/>
      <c r="D14" s="15"/>
      <c r="E14" s="22"/>
      <c r="F14" s="25"/>
      <c r="G14" s="26"/>
      <c r="H14" s="26"/>
    </row>
    <row r="15" spans="1:8" s="23" customFormat="1">
      <c r="A15" s="36"/>
      <c r="B15" s="20"/>
      <c r="C15" s="8"/>
      <c r="D15" s="15"/>
      <c r="E15" s="22"/>
      <c r="F15" s="25"/>
      <c r="G15" s="26"/>
      <c r="H15" s="26"/>
    </row>
    <row r="16" spans="1:8" s="23" customFormat="1">
      <c r="A16" s="36"/>
      <c r="B16" s="20"/>
      <c r="C16" s="31"/>
      <c r="D16" s="15"/>
      <c r="E16" s="22"/>
      <c r="F16" s="30"/>
      <c r="G16" s="26"/>
      <c r="H16" s="26"/>
    </row>
    <row r="17" spans="1:8" s="23" customFormat="1">
      <c r="A17" s="36"/>
      <c r="B17" s="30"/>
      <c r="C17" s="31"/>
      <c r="D17" s="15"/>
      <c r="E17" s="29"/>
      <c r="F17" s="30"/>
      <c r="G17" s="26"/>
      <c r="H17" s="26"/>
    </row>
    <row r="18" spans="1:8" s="23" customFormat="1">
      <c r="A18" s="33"/>
      <c r="B18" s="20"/>
      <c r="C18" s="31"/>
      <c r="D18" s="15"/>
      <c r="E18" s="29"/>
      <c r="F18" s="30"/>
      <c r="G18" s="26"/>
      <c r="H18" s="26"/>
    </row>
    <row r="19" spans="1:8" s="23" customFormat="1">
      <c r="A19" s="33"/>
      <c r="B19" s="20"/>
      <c r="C19" s="31"/>
      <c r="D19" s="15"/>
      <c r="E19" s="29"/>
      <c r="F19" s="30"/>
      <c r="G19" s="26"/>
      <c r="H19" s="26"/>
    </row>
    <row r="20" spans="1:8" s="23" customFormat="1">
      <c r="A20" s="33"/>
      <c r="B20" s="20"/>
      <c r="C20" s="31"/>
      <c r="D20" s="15"/>
      <c r="E20" s="29"/>
      <c r="F20" s="20"/>
      <c r="G20" s="26"/>
      <c r="H20" s="26"/>
    </row>
    <row r="21" spans="1:8" s="23" customFormat="1">
      <c r="A21" s="33"/>
      <c r="B21" s="20"/>
      <c r="C21" s="31"/>
      <c r="D21" s="15"/>
      <c r="E21" s="29"/>
      <c r="F21" s="20"/>
      <c r="G21" s="26"/>
      <c r="H21" s="26"/>
    </row>
    <row r="22" spans="1:8" s="23" customFormat="1">
      <c r="A22" s="33"/>
      <c r="B22" s="20"/>
      <c r="C22" s="31"/>
      <c r="D22" s="28"/>
      <c r="E22" s="29"/>
      <c r="F22" s="20"/>
      <c r="G22" s="26"/>
      <c r="H22" s="26"/>
    </row>
    <row r="23" spans="1:8" s="23" customFormat="1">
      <c r="A23" s="34"/>
      <c r="B23" s="30"/>
      <c r="C23" s="31"/>
      <c r="D23" s="28"/>
      <c r="E23" s="29"/>
      <c r="F23" s="30"/>
      <c r="G23" s="26"/>
      <c r="H23" s="26"/>
    </row>
    <row r="24" spans="1:8" s="23" customFormat="1">
      <c r="A24" s="34"/>
      <c r="B24" s="30"/>
      <c r="C24" s="31"/>
      <c r="D24" s="28"/>
      <c r="E24" s="29"/>
      <c r="F24" s="30"/>
      <c r="G24" s="26"/>
      <c r="H24" s="26"/>
    </row>
    <row r="25" spans="1:8">
      <c r="A25" s="33"/>
      <c r="B25" s="6"/>
      <c r="C25" s="16"/>
      <c r="D25" s="11"/>
      <c r="E25" s="12"/>
      <c r="F25" s="6"/>
      <c r="G25" s="3"/>
      <c r="H25" s="3"/>
    </row>
    <row r="26" spans="1:8">
      <c r="A26" s="33"/>
      <c r="B26" s="6"/>
      <c r="C26" s="16"/>
      <c r="D26" s="11"/>
      <c r="E26" s="12"/>
      <c r="F26" s="6"/>
      <c r="G26" s="3"/>
      <c r="H26" s="3"/>
    </row>
    <row r="27" spans="1:8">
      <c r="A27" s="33"/>
      <c r="B27" s="6"/>
      <c r="C27" s="16"/>
      <c r="D27" s="11"/>
      <c r="E27" s="12"/>
      <c r="F27" s="6"/>
      <c r="G27" s="3"/>
      <c r="H27" s="3"/>
    </row>
    <row r="28" spans="1:8">
      <c r="A28" s="33"/>
      <c r="B28" s="6"/>
      <c r="C28" s="8"/>
      <c r="D28" s="11"/>
      <c r="E28" s="12"/>
      <c r="F28" s="6"/>
      <c r="G28" s="3"/>
      <c r="H28" s="3"/>
    </row>
    <row r="29" spans="1:8">
      <c r="A29" s="33"/>
      <c r="B29" s="6"/>
      <c r="C29" s="8"/>
      <c r="D29" s="11"/>
      <c r="E29" s="12"/>
      <c r="F29" s="6"/>
      <c r="G29" s="3"/>
      <c r="H29" s="3"/>
    </row>
    <row r="30" spans="1:8">
      <c r="A30" s="33"/>
      <c r="B30" s="6"/>
      <c r="C30" s="8"/>
      <c r="D30" s="11"/>
      <c r="E30" s="12"/>
      <c r="F30" s="6"/>
      <c r="G30" s="3"/>
      <c r="H30" s="3"/>
    </row>
    <row r="31" spans="1:8">
      <c r="A31" s="33"/>
      <c r="B31" s="6"/>
      <c r="C31" s="8"/>
      <c r="D31" s="11"/>
      <c r="E31" s="12"/>
      <c r="F31" s="6"/>
      <c r="G31" s="3"/>
      <c r="H31" s="3"/>
    </row>
    <row r="32" spans="1:8">
      <c r="A32" s="33"/>
      <c r="B32" s="6"/>
      <c r="C32" s="8"/>
      <c r="D32" s="11"/>
      <c r="E32" s="12"/>
      <c r="F32" s="6"/>
      <c r="G32" s="3"/>
      <c r="H32" s="3"/>
    </row>
    <row r="33" spans="1:8">
      <c r="A33" s="33"/>
      <c r="B33" s="6"/>
      <c r="C33" s="8"/>
      <c r="D33" s="11"/>
      <c r="E33" s="12"/>
      <c r="F33" s="6"/>
      <c r="G33" s="3"/>
      <c r="H33" s="3"/>
    </row>
    <row r="34" spans="1:8">
      <c r="A34" s="35"/>
      <c r="B34" s="6"/>
      <c r="C34" s="6"/>
      <c r="D34" s="11"/>
      <c r="E34" s="12"/>
      <c r="F34" s="6"/>
      <c r="G34" s="3"/>
      <c r="H34" s="3"/>
    </row>
    <row r="35" spans="1:8">
      <c r="A35" s="35"/>
      <c r="B35" s="6"/>
      <c r="C35" s="6"/>
      <c r="D35" s="11"/>
      <c r="E35" s="12"/>
      <c r="F35" s="6"/>
      <c r="G35" s="3"/>
      <c r="H35" s="3"/>
    </row>
    <row r="36" spans="1:8">
      <c r="A36" s="35"/>
      <c r="B36" s="6"/>
      <c r="C36" s="6"/>
      <c r="D36" s="11"/>
      <c r="E36" s="12"/>
      <c r="F36" s="6"/>
      <c r="G36" s="3"/>
      <c r="H36" s="3"/>
    </row>
    <row r="37" spans="1:8">
      <c r="A37" s="6"/>
      <c r="B37" s="6"/>
      <c r="C37" s="6"/>
      <c r="D37" s="11"/>
      <c r="E37" s="12"/>
      <c r="F37" s="6"/>
      <c r="G37" s="3"/>
      <c r="H37" s="3"/>
    </row>
    <row r="38" spans="1:8">
      <c r="A38" s="6"/>
      <c r="B38" s="6"/>
      <c r="C38" s="6"/>
      <c r="D38" s="11"/>
      <c r="E38" s="12"/>
      <c r="F38" s="6"/>
      <c r="G38" s="3"/>
      <c r="H38" s="3"/>
    </row>
    <row r="39" spans="1:8">
      <c r="A39" s="6"/>
      <c r="B39" s="6"/>
      <c r="C39" s="6"/>
      <c r="D39" s="11"/>
      <c r="E39" s="12"/>
      <c r="F39" s="6"/>
      <c r="G39" s="3"/>
      <c r="H39" s="3"/>
    </row>
    <row r="40" spans="1:8">
      <c r="A40" s="6"/>
      <c r="B40" s="6"/>
      <c r="C40" s="17"/>
      <c r="D40" s="11"/>
      <c r="E40" s="12"/>
      <c r="F40" s="6"/>
      <c r="G40" s="3"/>
      <c r="H40" s="3"/>
    </row>
    <row r="41" spans="1:8">
      <c r="A41" s="6"/>
      <c r="B41" s="6"/>
      <c r="C41" s="17"/>
      <c r="D41" s="11"/>
      <c r="E41" s="7"/>
      <c r="F41" s="6"/>
      <c r="G41" s="3"/>
      <c r="H41" s="3"/>
    </row>
    <row r="42" spans="1:8">
      <c r="A42" s="7"/>
      <c r="B42" s="6"/>
      <c r="C42" s="17"/>
      <c r="D42" s="11"/>
      <c r="E42" s="7"/>
      <c r="F42" s="6"/>
      <c r="G42" s="3"/>
      <c r="H42" s="3"/>
    </row>
    <row r="43" spans="1:8">
      <c r="A43" s="7"/>
      <c r="B43" s="6"/>
      <c r="C43" s="17"/>
      <c r="D43" s="11"/>
      <c r="E43" s="7"/>
      <c r="F43" s="6"/>
      <c r="G43" s="3"/>
      <c r="H43" s="3"/>
    </row>
    <row r="44" spans="1:8">
      <c r="A44" s="7"/>
      <c r="B44" s="6"/>
      <c r="C44" s="17"/>
      <c r="D44" s="11"/>
      <c r="E44" s="3"/>
      <c r="F44" s="6"/>
      <c r="G44" s="3"/>
      <c r="H44" s="3"/>
    </row>
    <row r="45" spans="1:8">
      <c r="A45" s="7"/>
      <c r="B45" s="6"/>
      <c r="C45" s="17"/>
      <c r="D45" s="6"/>
      <c r="E45" s="3"/>
      <c r="F45" s="6"/>
      <c r="G45" s="3"/>
      <c r="H45" s="3"/>
    </row>
  </sheetData>
  <pageMargins left="0.51181102362204722" right="0.51181102362204722" top="0.55118110236220474" bottom="0.55118110236220474" header="0.31496062992125984" footer="0.31496062992125984"/>
  <pageSetup scale="66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view="pageBreakPreview" zoomScale="50" zoomScaleNormal="120" zoomScaleSheetLayoutView="50" workbookViewId="0">
      <selection activeCell="C6" sqref="C6"/>
    </sheetView>
  </sheetViews>
  <sheetFormatPr baseColWidth="10" defaultRowHeight="18"/>
  <cols>
    <col min="1" max="1" width="12.140625" style="47" customWidth="1"/>
    <col min="2" max="2" width="22.5703125" style="104" customWidth="1"/>
    <col min="3" max="3" width="51.140625" style="47" bestFit="1" customWidth="1"/>
    <col min="4" max="4" width="42.85546875" style="46" customWidth="1"/>
    <col min="5" max="5" width="27.7109375" style="47" customWidth="1"/>
    <col min="6" max="6" width="40" style="48" customWidth="1"/>
    <col min="7" max="7" width="29.42578125" style="48" customWidth="1"/>
    <col min="8" max="8" width="32" style="48" customWidth="1"/>
    <col min="9" max="16384" width="11.42578125" style="48"/>
  </cols>
  <sheetData>
    <row r="1" spans="1:8" s="117" customFormat="1" ht="46.5">
      <c r="A1" s="540" t="s">
        <v>646</v>
      </c>
      <c r="B1" s="540"/>
      <c r="C1" s="540"/>
      <c r="D1" s="540"/>
      <c r="E1" s="540"/>
      <c r="F1" s="540"/>
      <c r="G1" s="540"/>
      <c r="H1" s="540"/>
    </row>
    <row r="2" spans="1:8" s="117" customFormat="1" ht="18.75">
      <c r="A2" s="127"/>
      <c r="B2" s="123"/>
      <c r="C2" s="127"/>
      <c r="D2" s="124"/>
      <c r="E2" s="125"/>
    </row>
    <row r="3" spans="1:8" s="117" customFormat="1" ht="18.75">
      <c r="A3" s="125"/>
      <c r="B3" s="123"/>
      <c r="C3" s="127"/>
      <c r="D3" s="124"/>
      <c r="E3" s="125"/>
    </row>
    <row r="4" spans="1:8" s="117" customFormat="1" ht="18.75">
      <c r="A4" s="125"/>
      <c r="B4" s="123"/>
      <c r="C4" s="125" t="s">
        <v>2</v>
      </c>
      <c r="D4" s="124"/>
      <c r="E4" s="125"/>
    </row>
    <row r="5" spans="1:8" s="288" customFormat="1" ht="73.5">
      <c r="A5" s="190" t="s">
        <v>0</v>
      </c>
      <c r="B5" s="190" t="s">
        <v>69</v>
      </c>
      <c r="C5" s="190" t="s">
        <v>587</v>
      </c>
      <c r="D5" s="190" t="s">
        <v>4</v>
      </c>
      <c r="E5" s="190" t="s">
        <v>21</v>
      </c>
      <c r="F5" s="190" t="s">
        <v>5</v>
      </c>
      <c r="G5" s="190" t="s">
        <v>1</v>
      </c>
      <c r="H5" s="190" t="s">
        <v>7</v>
      </c>
    </row>
    <row r="6" spans="1:8" ht="94.5">
      <c r="A6" s="234">
        <v>1</v>
      </c>
      <c r="B6" s="223" t="s">
        <v>165</v>
      </c>
      <c r="C6" s="225" t="s">
        <v>342</v>
      </c>
      <c r="D6" s="171" t="s">
        <v>345</v>
      </c>
      <c r="E6" s="235"/>
      <c r="F6" s="204">
        <v>3120000</v>
      </c>
      <c r="G6" s="171" t="s">
        <v>707</v>
      </c>
      <c r="H6" s="171" t="s">
        <v>708</v>
      </c>
    </row>
    <row r="7" spans="1:8" ht="63">
      <c r="A7" s="234">
        <v>2</v>
      </c>
      <c r="B7" s="223" t="s">
        <v>166</v>
      </c>
      <c r="C7" s="225" t="s">
        <v>343</v>
      </c>
      <c r="D7" s="171"/>
      <c r="E7" s="235">
        <v>46070</v>
      </c>
      <c r="F7" s="204">
        <v>3120000</v>
      </c>
      <c r="G7" s="171"/>
      <c r="H7" s="171"/>
    </row>
    <row r="8" spans="1:8" s="108" customFormat="1" ht="59.25" customHeight="1">
      <c r="A8" s="314">
        <v>3</v>
      </c>
      <c r="B8" s="310" t="s">
        <v>169</v>
      </c>
      <c r="C8" s="225" t="s">
        <v>344</v>
      </c>
      <c r="D8" s="225"/>
      <c r="E8" s="311">
        <v>46135</v>
      </c>
      <c r="F8" s="204">
        <v>3709680</v>
      </c>
      <c r="G8" s="202"/>
      <c r="H8" s="202"/>
    </row>
    <row r="9" spans="1:8" s="108" customFormat="1" ht="69.75" customHeight="1">
      <c r="A9" s="314">
        <v>4</v>
      </c>
      <c r="B9" s="310" t="s">
        <v>169</v>
      </c>
      <c r="C9" s="225" t="s">
        <v>346</v>
      </c>
      <c r="D9" s="225"/>
      <c r="E9" s="311">
        <v>46141</v>
      </c>
      <c r="F9" s="204">
        <v>3120000</v>
      </c>
      <c r="G9" s="202"/>
      <c r="H9" s="202"/>
    </row>
    <row r="10" spans="1:8" s="108" customFormat="1" ht="94.5">
      <c r="A10" s="315">
        <v>5</v>
      </c>
      <c r="B10" s="223" t="s">
        <v>173</v>
      </c>
      <c r="C10" s="225" t="s">
        <v>347</v>
      </c>
      <c r="D10" s="171"/>
      <c r="E10" s="235">
        <v>46196</v>
      </c>
      <c r="F10" s="204">
        <v>3120000</v>
      </c>
      <c r="G10" s="199" t="s">
        <v>709</v>
      </c>
      <c r="H10" s="171" t="s">
        <v>735</v>
      </c>
    </row>
    <row r="11" spans="1:8" s="108" customFormat="1" ht="94.5">
      <c r="A11" s="316">
        <v>6</v>
      </c>
      <c r="B11" s="223" t="s">
        <v>212</v>
      </c>
      <c r="C11" s="225" t="s">
        <v>504</v>
      </c>
      <c r="D11" s="253"/>
      <c r="E11" s="235">
        <v>46237</v>
      </c>
      <c r="F11" s="204">
        <v>3120000</v>
      </c>
      <c r="G11" s="199" t="s">
        <v>709</v>
      </c>
      <c r="H11" s="171" t="s">
        <v>750</v>
      </c>
    </row>
    <row r="12" spans="1:8" s="108" customFormat="1" ht="31.5">
      <c r="A12" s="199"/>
      <c r="B12" s="223"/>
      <c r="C12" s="199"/>
      <c r="D12" s="253"/>
      <c r="E12" s="235"/>
      <c r="F12" s="205"/>
      <c r="G12" s="202"/>
      <c r="H12" s="202"/>
    </row>
    <row r="13" spans="1:8" s="108" customFormat="1" ht="31.5">
      <c r="A13" s="199"/>
      <c r="B13" s="234"/>
      <c r="C13" s="225"/>
      <c r="D13" s="253"/>
      <c r="E13" s="235"/>
      <c r="F13" s="241">
        <f>SUM(F6:F12)</f>
        <v>19309680</v>
      </c>
      <c r="G13" s="202"/>
      <c r="H13" s="202"/>
    </row>
    <row r="14" spans="1:8" ht="31.5">
      <c r="A14" s="187"/>
      <c r="B14" s="220"/>
      <c r="C14" s="187"/>
      <c r="D14" s="186"/>
      <c r="E14" s="187"/>
      <c r="F14" s="185"/>
      <c r="G14" s="185"/>
      <c r="H14" s="185"/>
    </row>
    <row r="15" spans="1:8" ht="31.5">
      <c r="A15" s="187"/>
      <c r="B15" s="220"/>
      <c r="C15" s="187"/>
      <c r="D15" s="186"/>
      <c r="E15" s="187"/>
      <c r="F15" s="185"/>
      <c r="G15" s="185"/>
      <c r="H15" s="185"/>
    </row>
    <row r="16" spans="1:8" ht="31.5">
      <c r="A16" s="220" t="s">
        <v>734</v>
      </c>
      <c r="C16" s="187"/>
      <c r="D16" s="186"/>
      <c r="E16" s="187"/>
      <c r="F16" s="185"/>
      <c r="G16" s="185"/>
      <c r="H16" s="185"/>
    </row>
    <row r="17" spans="1:8" ht="31.5">
      <c r="A17" s="184" t="s">
        <v>733</v>
      </c>
      <c r="B17" s="184"/>
      <c r="C17" s="184"/>
      <c r="D17" s="184"/>
      <c r="E17" s="184"/>
      <c r="F17" s="184"/>
      <c r="G17" s="184"/>
      <c r="H17" s="184"/>
    </row>
    <row r="18" spans="1:8" s="185" customFormat="1" ht="18" customHeight="1">
      <c r="A18" s="184"/>
      <c r="B18" s="184"/>
      <c r="C18" s="184"/>
      <c r="D18" s="184"/>
      <c r="E18" s="184"/>
      <c r="F18" s="184"/>
      <c r="G18" s="184"/>
      <c r="H18" s="184"/>
    </row>
    <row r="19" spans="1:8" s="337" customFormat="1" ht="49.5" customHeight="1">
      <c r="A19" s="335" t="s">
        <v>764</v>
      </c>
      <c r="B19" s="334"/>
      <c r="C19" s="336"/>
      <c r="D19" s="334"/>
      <c r="F19" s="334"/>
      <c r="G19" s="334"/>
    </row>
    <row r="20" spans="1:8" s="185" customFormat="1" ht="18" customHeight="1">
      <c r="A20" s="184"/>
      <c r="B20" s="184"/>
      <c r="C20" s="184"/>
      <c r="D20" s="184"/>
      <c r="E20" s="184"/>
      <c r="F20" s="184"/>
      <c r="G20" s="184"/>
      <c r="H20" s="184"/>
    </row>
    <row r="21" spans="1:8" s="185" customFormat="1" ht="31.5">
      <c r="A21" s="187"/>
      <c r="B21" s="220"/>
      <c r="C21" s="187"/>
      <c r="D21" s="186"/>
      <c r="E21" s="187"/>
    </row>
    <row r="22" spans="1:8" s="185" customFormat="1" ht="31.5">
      <c r="A22" s="187"/>
      <c r="B22" s="220"/>
      <c r="C22" s="187"/>
      <c r="D22" s="186"/>
      <c r="E22" s="187"/>
    </row>
    <row r="23" spans="1:8" s="185" customFormat="1" ht="31.5">
      <c r="A23" s="187"/>
      <c r="B23" s="220"/>
      <c r="C23" s="187"/>
      <c r="D23" s="186"/>
      <c r="E23" s="187"/>
    </row>
    <row r="24" spans="1:8" s="185" customFormat="1" ht="31.5">
      <c r="A24" s="187"/>
      <c r="B24" s="220"/>
      <c r="C24" s="187"/>
      <c r="D24" s="186"/>
      <c r="E24" s="187"/>
    </row>
    <row r="25" spans="1:8" s="185" customFormat="1" ht="31.5">
      <c r="A25" s="187"/>
      <c r="B25" s="220"/>
      <c r="C25" s="187"/>
      <c r="D25" s="186"/>
      <c r="E25" s="187"/>
    </row>
  </sheetData>
  <mergeCells count="1">
    <mergeCell ref="A1:H1"/>
  </mergeCells>
  <pageMargins left="0.25" right="0.25" top="0.75" bottom="0.75" header="0.3" footer="0.3"/>
  <pageSetup scale="38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view="pageBreakPreview" topLeftCell="A8" zoomScale="60" zoomScaleNormal="120" workbookViewId="0">
      <selection activeCell="J11" sqref="J11"/>
    </sheetView>
  </sheetViews>
  <sheetFormatPr baseColWidth="10" defaultRowHeight="21"/>
  <cols>
    <col min="1" max="1" width="7.5703125" style="50" customWidth="1"/>
    <col min="2" max="2" width="19" style="52" customWidth="1"/>
    <col min="3" max="3" width="46.85546875" style="50" customWidth="1"/>
    <col min="4" max="4" width="29.5703125" style="49" customWidth="1"/>
    <col min="5" max="5" width="27" style="50" customWidth="1"/>
    <col min="6" max="6" width="36.85546875" style="51" customWidth="1"/>
    <col min="7" max="7" width="26" style="51" customWidth="1"/>
    <col min="8" max="8" width="31.28515625" style="51" customWidth="1"/>
    <col min="9" max="16384" width="11.42578125" style="51"/>
  </cols>
  <sheetData>
    <row r="1" spans="1:8" s="98" customFormat="1" ht="21.75">
      <c r="A1" s="152"/>
      <c r="B1" s="126"/>
      <c r="C1" s="152"/>
      <c r="D1" s="45"/>
      <c r="E1" s="152"/>
    </row>
    <row r="2" spans="1:8" s="154" customFormat="1" ht="39.75">
      <c r="A2" s="547" t="s">
        <v>647</v>
      </c>
      <c r="B2" s="547"/>
      <c r="C2" s="547"/>
      <c r="D2" s="547"/>
      <c r="E2" s="547"/>
      <c r="F2" s="547"/>
      <c r="G2" s="547"/>
      <c r="H2" s="547"/>
    </row>
    <row r="3" spans="1:8" s="98" customFormat="1" ht="21.75">
      <c r="A3" s="152"/>
      <c r="B3" s="115"/>
      <c r="C3" s="145"/>
      <c r="D3" s="45"/>
      <c r="E3" s="152"/>
    </row>
    <row r="4" spans="1:8" s="98" customFormat="1" ht="21.75">
      <c r="A4" s="152"/>
      <c r="B4" s="126"/>
      <c r="C4" s="152" t="s">
        <v>2</v>
      </c>
      <c r="D4" s="45"/>
      <c r="E4" s="152"/>
    </row>
    <row r="5" spans="1:8" s="150" customFormat="1" ht="67.5">
      <c r="A5" s="189" t="s">
        <v>0</v>
      </c>
      <c r="B5" s="189" t="s">
        <v>69</v>
      </c>
      <c r="C5" s="189" t="s">
        <v>587</v>
      </c>
      <c r="D5" s="189" t="s">
        <v>4</v>
      </c>
      <c r="E5" s="189" t="s">
        <v>21</v>
      </c>
      <c r="F5" s="189" t="s">
        <v>5</v>
      </c>
      <c r="G5" s="189" t="s">
        <v>1</v>
      </c>
      <c r="H5" s="189" t="s">
        <v>7</v>
      </c>
    </row>
    <row r="6" spans="1:8" ht="94.5">
      <c r="A6" s="550">
        <v>1</v>
      </c>
      <c r="B6" s="545" t="s">
        <v>166</v>
      </c>
      <c r="C6" s="225" t="s">
        <v>352</v>
      </c>
      <c r="D6" s="565" t="s">
        <v>353</v>
      </c>
      <c r="E6" s="548">
        <v>46044</v>
      </c>
      <c r="F6" s="204">
        <v>1500000</v>
      </c>
      <c r="G6" s="171" t="s">
        <v>709</v>
      </c>
      <c r="H6" s="171" t="s">
        <v>710</v>
      </c>
    </row>
    <row r="7" spans="1:8" ht="94.5">
      <c r="A7" s="551"/>
      <c r="B7" s="546"/>
      <c r="C7" s="225" t="s">
        <v>354</v>
      </c>
      <c r="D7" s="566"/>
      <c r="E7" s="549"/>
      <c r="F7" s="204">
        <v>1800000</v>
      </c>
      <c r="G7" s="171" t="s">
        <v>709</v>
      </c>
      <c r="H7" s="171" t="s">
        <v>710</v>
      </c>
    </row>
    <row r="8" spans="1:8" s="58" customFormat="1" ht="63">
      <c r="A8" s="563">
        <v>2</v>
      </c>
      <c r="B8" s="569" t="s">
        <v>167</v>
      </c>
      <c r="C8" s="225" t="s">
        <v>355</v>
      </c>
      <c r="D8" s="555" t="s">
        <v>356</v>
      </c>
      <c r="E8" s="567">
        <v>46070</v>
      </c>
      <c r="F8" s="204">
        <v>1500000</v>
      </c>
      <c r="G8" s="202"/>
      <c r="H8" s="202"/>
    </row>
    <row r="9" spans="1:8" s="58" customFormat="1" ht="63">
      <c r="A9" s="564"/>
      <c r="B9" s="570"/>
      <c r="C9" s="225" t="s">
        <v>357</v>
      </c>
      <c r="D9" s="556"/>
      <c r="E9" s="568"/>
      <c r="F9" s="204">
        <v>1800000</v>
      </c>
      <c r="G9" s="202"/>
      <c r="H9" s="202"/>
    </row>
    <row r="10" spans="1:8" s="58" customFormat="1" ht="63">
      <c r="A10" s="561">
        <v>3</v>
      </c>
      <c r="B10" s="545" t="s">
        <v>171</v>
      </c>
      <c r="C10" s="225" t="s">
        <v>358</v>
      </c>
      <c r="D10" s="555" t="s">
        <v>359</v>
      </c>
      <c r="E10" s="548">
        <v>46135</v>
      </c>
      <c r="F10" s="205">
        <v>1500000</v>
      </c>
      <c r="G10" s="202"/>
      <c r="H10" s="202"/>
    </row>
    <row r="11" spans="1:8" s="58" customFormat="1" ht="63">
      <c r="A11" s="562"/>
      <c r="B11" s="546"/>
      <c r="C11" s="225" t="s">
        <v>360</v>
      </c>
      <c r="D11" s="556"/>
      <c r="E11" s="549"/>
      <c r="F11" s="205">
        <v>1800000</v>
      </c>
      <c r="G11" s="202"/>
      <c r="H11" s="202"/>
    </row>
    <row r="12" spans="1:8" s="58" customFormat="1" ht="94.5">
      <c r="A12" s="561">
        <v>4</v>
      </c>
      <c r="B12" s="545" t="s">
        <v>173</v>
      </c>
      <c r="C12" s="225" t="s">
        <v>361</v>
      </c>
      <c r="D12" s="555" t="s">
        <v>363</v>
      </c>
      <c r="E12" s="548">
        <v>46168</v>
      </c>
      <c r="F12" s="205">
        <v>1500000</v>
      </c>
      <c r="G12" s="199" t="s">
        <v>709</v>
      </c>
      <c r="H12" s="171" t="s">
        <v>726</v>
      </c>
    </row>
    <row r="13" spans="1:8" s="58" customFormat="1" ht="94.5">
      <c r="A13" s="562"/>
      <c r="B13" s="546"/>
      <c r="C13" s="225" t="s">
        <v>362</v>
      </c>
      <c r="D13" s="556"/>
      <c r="E13" s="549"/>
      <c r="F13" s="205">
        <v>1800000</v>
      </c>
      <c r="G13" s="199" t="s">
        <v>709</v>
      </c>
      <c r="H13" s="171" t="s">
        <v>726</v>
      </c>
    </row>
    <row r="14" spans="1:8" s="58" customFormat="1" ht="63">
      <c r="A14" s="561">
        <v>5</v>
      </c>
      <c r="B14" s="545" t="s">
        <v>212</v>
      </c>
      <c r="C14" s="225" t="s">
        <v>530</v>
      </c>
      <c r="D14" s="555" t="s">
        <v>364</v>
      </c>
      <c r="E14" s="548">
        <v>46168</v>
      </c>
      <c r="F14" s="205">
        <v>1500000</v>
      </c>
      <c r="G14" s="202"/>
      <c r="H14" s="202"/>
    </row>
    <row r="15" spans="1:8" s="58" customFormat="1" ht="63">
      <c r="A15" s="562"/>
      <c r="B15" s="546"/>
      <c r="C15" s="225" t="s">
        <v>531</v>
      </c>
      <c r="D15" s="556"/>
      <c r="E15" s="549"/>
      <c r="F15" s="205">
        <v>1800000</v>
      </c>
      <c r="G15" s="202"/>
      <c r="H15" s="202"/>
    </row>
    <row r="16" spans="1:8" s="58" customFormat="1" ht="63">
      <c r="A16" s="561">
        <v>6</v>
      </c>
      <c r="B16" s="545" t="s">
        <v>529</v>
      </c>
      <c r="C16" s="225" t="s">
        <v>532</v>
      </c>
      <c r="D16" s="555" t="s">
        <v>534</v>
      </c>
      <c r="E16" s="559">
        <v>46238</v>
      </c>
      <c r="F16" s="205">
        <v>1500000</v>
      </c>
      <c r="G16" s="202"/>
      <c r="H16" s="202"/>
    </row>
    <row r="17" spans="1:8" s="58" customFormat="1" ht="63">
      <c r="A17" s="562"/>
      <c r="B17" s="546"/>
      <c r="C17" s="225" t="s">
        <v>533</v>
      </c>
      <c r="D17" s="556"/>
      <c r="E17" s="560"/>
      <c r="F17" s="205">
        <v>1800000</v>
      </c>
      <c r="G17" s="202"/>
      <c r="H17" s="202"/>
    </row>
    <row r="18" spans="1:8" ht="31.5">
      <c r="A18" s="292"/>
      <c r="B18" s="234"/>
      <c r="C18" s="221"/>
      <c r="D18" s="224"/>
      <c r="E18" s="177"/>
      <c r="F18" s="178"/>
      <c r="G18" s="175"/>
      <c r="H18" s="175"/>
    </row>
    <row r="19" spans="1:8" ht="31.5">
      <c r="A19" s="292"/>
      <c r="B19" s="234"/>
      <c r="C19" s="221"/>
      <c r="D19" s="224"/>
      <c r="E19" s="177"/>
      <c r="F19" s="178"/>
      <c r="G19" s="175"/>
      <c r="H19" s="175"/>
    </row>
    <row r="20" spans="1:8" ht="31.5">
      <c r="A20" s="292"/>
      <c r="B20" s="234"/>
      <c r="C20" s="221"/>
      <c r="D20" s="224"/>
      <c r="E20" s="177"/>
      <c r="F20" s="272">
        <f>SUM(F6:F19)</f>
        <v>19800000</v>
      </c>
      <c r="G20" s="175"/>
      <c r="H20" s="175"/>
    </row>
    <row r="21" spans="1:8" ht="31.5">
      <c r="A21" s="187"/>
      <c r="B21" s="220"/>
      <c r="C21" s="187"/>
      <c r="D21" s="186"/>
      <c r="E21" s="187"/>
      <c r="F21" s="185"/>
      <c r="G21" s="185"/>
      <c r="H21" s="185"/>
    </row>
    <row r="22" spans="1:8" ht="31.5">
      <c r="A22" s="187"/>
      <c r="B22" s="220"/>
      <c r="C22" s="187"/>
      <c r="D22" s="186"/>
      <c r="E22" s="187"/>
      <c r="F22" s="185"/>
      <c r="G22" s="185"/>
      <c r="H22" s="185"/>
    </row>
    <row r="23" spans="1:8" ht="31.5">
      <c r="A23" s="220" t="s">
        <v>737</v>
      </c>
      <c r="B23" s="220"/>
      <c r="C23" s="187"/>
      <c r="D23" s="186"/>
      <c r="E23" s="187"/>
      <c r="F23" s="185"/>
      <c r="G23" s="185"/>
      <c r="H23" s="185"/>
    </row>
    <row r="24" spans="1:8" ht="31.5">
      <c r="A24" s="184" t="s">
        <v>736</v>
      </c>
      <c r="B24" s="220"/>
      <c r="C24" s="187"/>
      <c r="D24" s="186"/>
      <c r="E24" s="187"/>
      <c r="F24" s="185"/>
      <c r="G24" s="185"/>
      <c r="H24" s="185"/>
    </row>
    <row r="25" spans="1:8" ht="31.5">
      <c r="A25" s="187"/>
      <c r="B25" s="220"/>
      <c r="C25" s="187"/>
      <c r="D25" s="186"/>
      <c r="E25" s="187"/>
      <c r="F25" s="185"/>
      <c r="G25" s="185"/>
      <c r="H25" s="185"/>
    </row>
    <row r="26" spans="1:8" ht="31.5">
      <c r="A26" s="187"/>
      <c r="B26" s="220"/>
      <c r="C26" s="187"/>
      <c r="D26" s="186"/>
      <c r="E26" s="187"/>
      <c r="F26" s="185"/>
      <c r="G26" s="185"/>
      <c r="H26" s="185"/>
    </row>
    <row r="27" spans="1:8" ht="31.5">
      <c r="A27" s="187"/>
      <c r="B27" s="220"/>
      <c r="C27" s="187"/>
      <c r="D27" s="186"/>
      <c r="E27" s="187"/>
      <c r="F27" s="185"/>
      <c r="G27" s="185"/>
      <c r="H27" s="185"/>
    </row>
    <row r="28" spans="1:8" ht="31.5">
      <c r="A28" s="187"/>
      <c r="B28" s="220"/>
      <c r="C28" s="187"/>
      <c r="D28" s="186"/>
      <c r="E28" s="187"/>
      <c r="F28" s="185"/>
      <c r="G28" s="185"/>
      <c r="H28" s="185"/>
    </row>
    <row r="29" spans="1:8" ht="31.5">
      <c r="A29" s="187"/>
      <c r="B29" s="220"/>
      <c r="C29" s="187"/>
      <c r="D29" s="186"/>
      <c r="E29" s="187"/>
      <c r="F29" s="185"/>
      <c r="G29" s="185"/>
      <c r="H29" s="185"/>
    </row>
  </sheetData>
  <mergeCells count="25">
    <mergeCell ref="A2:H2"/>
    <mergeCell ref="A16:A17"/>
    <mergeCell ref="A6:A7"/>
    <mergeCell ref="A8:A9"/>
    <mergeCell ref="A10:A11"/>
    <mergeCell ref="A12:A13"/>
    <mergeCell ref="A14:A15"/>
    <mergeCell ref="B10:B11"/>
    <mergeCell ref="D10:D11"/>
    <mergeCell ref="E10:E11"/>
    <mergeCell ref="B6:B7"/>
    <mergeCell ref="D6:D7"/>
    <mergeCell ref="E6:E7"/>
    <mergeCell ref="D8:D9"/>
    <mergeCell ref="E8:E9"/>
    <mergeCell ref="B8:B9"/>
    <mergeCell ref="D12:D13"/>
    <mergeCell ref="E12:E13"/>
    <mergeCell ref="B16:B17"/>
    <mergeCell ref="D16:D17"/>
    <mergeCell ref="E16:E17"/>
    <mergeCell ref="B14:B15"/>
    <mergeCell ref="D14:D15"/>
    <mergeCell ref="E14:E15"/>
    <mergeCell ref="B12:B13"/>
  </mergeCells>
  <pageMargins left="0.25" right="0.25" top="0.75" bottom="0.75" header="0.3" footer="0.3"/>
  <pageSetup scale="45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BreakPreview" zoomScale="60" zoomScaleNormal="120" workbookViewId="0">
      <selection activeCell="A4" sqref="A4:H4"/>
    </sheetView>
  </sheetViews>
  <sheetFormatPr baseColWidth="10" defaultRowHeight="18"/>
  <cols>
    <col min="1" max="1" width="11" style="48" customWidth="1"/>
    <col min="2" max="2" width="26.140625" style="104" customWidth="1"/>
    <col min="3" max="3" width="36" style="47" customWidth="1"/>
    <col min="4" max="4" width="42.140625" style="46" customWidth="1"/>
    <col min="5" max="5" width="36.140625" style="47" customWidth="1"/>
    <col min="6" max="6" width="31.28515625" style="48" customWidth="1"/>
    <col min="7" max="7" width="27.5703125" style="48" customWidth="1"/>
    <col min="8" max="8" width="40" style="48" customWidth="1"/>
    <col min="9" max="16384" width="11.42578125" style="48"/>
  </cols>
  <sheetData>
    <row r="1" spans="1:8" s="98" customFormat="1" ht="46.5">
      <c r="A1" s="540" t="s">
        <v>648</v>
      </c>
      <c r="B1" s="540"/>
      <c r="C1" s="540"/>
      <c r="D1" s="540"/>
      <c r="E1" s="540"/>
      <c r="F1" s="540"/>
      <c r="G1" s="540"/>
      <c r="H1" s="540"/>
    </row>
    <row r="2" spans="1:8" s="98" customFormat="1" ht="21.75">
      <c r="A2" s="155"/>
      <c r="B2" s="126"/>
      <c r="C2" s="152"/>
      <c r="D2" s="45"/>
      <c r="E2" s="152"/>
    </row>
    <row r="3" spans="1:8" s="98" customFormat="1" ht="21.75">
      <c r="A3" s="155"/>
      <c r="B3" s="126"/>
      <c r="C3" s="152" t="s">
        <v>2</v>
      </c>
      <c r="D3" s="45"/>
      <c r="E3" s="152"/>
    </row>
    <row r="4" spans="1:8" s="98" customFormat="1" ht="73.5">
      <c r="A4" s="193" t="s">
        <v>0</v>
      </c>
      <c r="B4" s="190" t="s">
        <v>69</v>
      </c>
      <c r="C4" s="190" t="s">
        <v>587</v>
      </c>
      <c r="D4" s="190" t="s">
        <v>4</v>
      </c>
      <c r="E4" s="190" t="s">
        <v>21</v>
      </c>
      <c r="F4" s="190" t="s">
        <v>5</v>
      </c>
      <c r="G4" s="190" t="s">
        <v>1</v>
      </c>
      <c r="H4" s="190" t="s">
        <v>7</v>
      </c>
    </row>
    <row r="5" spans="1:8" ht="63">
      <c r="A5" s="477">
        <v>1</v>
      </c>
      <c r="B5" s="223" t="s">
        <v>365</v>
      </c>
      <c r="C5" s="225" t="s">
        <v>366</v>
      </c>
      <c r="D5" s="171" t="s">
        <v>301</v>
      </c>
      <c r="E5" s="235">
        <v>46030</v>
      </c>
      <c r="F5" s="204">
        <v>85500</v>
      </c>
      <c r="G5" s="171"/>
      <c r="H5" s="171"/>
    </row>
    <row r="6" spans="1:8" ht="31.5">
      <c r="A6" s="477">
        <v>2</v>
      </c>
      <c r="B6" s="223"/>
      <c r="C6" s="225"/>
      <c r="D6" s="171"/>
      <c r="E6" s="235"/>
      <c r="F6" s="204"/>
      <c r="G6" s="171"/>
      <c r="H6" s="171"/>
    </row>
    <row r="7" spans="1:8" s="108" customFormat="1" ht="31.5">
      <c r="A7" s="199">
        <v>3</v>
      </c>
      <c r="B7" s="223"/>
      <c r="C7" s="225"/>
      <c r="D7" s="253"/>
      <c r="E7" s="200"/>
      <c r="F7" s="204"/>
      <c r="G7" s="202"/>
      <c r="H7" s="202"/>
    </row>
    <row r="8" spans="1:8" s="108" customFormat="1" ht="31.5">
      <c r="A8" s="199">
        <v>4</v>
      </c>
      <c r="B8" s="223"/>
      <c r="C8" s="225"/>
      <c r="D8" s="253"/>
      <c r="E8" s="200"/>
      <c r="F8" s="204"/>
      <c r="G8" s="202"/>
      <c r="H8" s="202"/>
    </row>
    <row r="9" spans="1:8" s="108" customFormat="1" ht="31.5">
      <c r="A9" s="199">
        <v>5</v>
      </c>
      <c r="B9" s="223"/>
      <c r="C9" s="225"/>
      <c r="D9" s="253"/>
      <c r="E9" s="200"/>
      <c r="F9" s="226">
        <f>SUM(F5:F8)</f>
        <v>85500</v>
      </c>
      <c r="G9" s="202"/>
      <c r="H9" s="202"/>
    </row>
  </sheetData>
  <mergeCells count="1">
    <mergeCell ref="A1:H1"/>
  </mergeCells>
  <pageMargins left="0.25" right="0.25" top="0.75" bottom="0.75" header="0.3" footer="0.3"/>
  <pageSetup scale="3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BreakPreview" zoomScale="50" zoomScaleNormal="120" zoomScaleSheetLayoutView="50" workbookViewId="0">
      <selection activeCell="E5" sqref="E5"/>
    </sheetView>
  </sheetViews>
  <sheetFormatPr baseColWidth="10" defaultRowHeight="15.75"/>
  <cols>
    <col min="1" max="1" width="8.42578125" style="10" customWidth="1"/>
    <col min="2" max="2" width="27.28515625" style="19" customWidth="1"/>
    <col min="3" max="3" width="29.140625" style="10" customWidth="1"/>
    <col min="4" max="4" width="38.7109375" style="4" customWidth="1"/>
    <col min="5" max="5" width="31.42578125" style="10" customWidth="1"/>
    <col min="6" max="6" width="32.28515625" style="1" customWidth="1"/>
    <col min="7" max="7" width="31.28515625" style="1" customWidth="1"/>
    <col min="8" max="8" width="30.28515625" style="1" customWidth="1"/>
    <col min="9" max="16384" width="11.42578125" style="1"/>
  </cols>
  <sheetData>
    <row r="1" spans="1:8" s="98" customFormat="1" ht="46.5">
      <c r="A1" s="540" t="s">
        <v>649</v>
      </c>
      <c r="B1" s="540"/>
      <c r="C1" s="540"/>
      <c r="D1" s="540"/>
      <c r="E1" s="540"/>
      <c r="F1" s="540"/>
      <c r="G1" s="540"/>
      <c r="H1" s="540"/>
    </row>
    <row r="2" spans="1:8" s="98" customFormat="1" ht="21.75">
      <c r="A2" s="152"/>
      <c r="B2" s="115"/>
      <c r="C2" s="145"/>
      <c r="D2" s="45"/>
      <c r="E2" s="152"/>
    </row>
    <row r="3" spans="1:8" s="98" customFormat="1" ht="21.75">
      <c r="A3" s="152"/>
      <c r="B3" s="126"/>
      <c r="C3" s="152" t="s">
        <v>2</v>
      </c>
      <c r="D3" s="45"/>
      <c r="E3" s="152"/>
    </row>
    <row r="4" spans="1:8" s="100" customFormat="1" ht="73.5">
      <c r="A4" s="190" t="s">
        <v>0</v>
      </c>
      <c r="B4" s="190" t="s">
        <v>69</v>
      </c>
      <c r="C4" s="190" t="s">
        <v>587</v>
      </c>
      <c r="D4" s="190" t="s">
        <v>4</v>
      </c>
      <c r="E4" s="190" t="s">
        <v>21</v>
      </c>
      <c r="F4" s="190" t="s">
        <v>5</v>
      </c>
      <c r="G4" s="190" t="s">
        <v>1</v>
      </c>
      <c r="H4" s="190" t="s">
        <v>7</v>
      </c>
    </row>
    <row r="5" spans="1:8" ht="94.5">
      <c r="A5" s="171">
        <v>1</v>
      </c>
      <c r="B5" s="223" t="s">
        <v>325</v>
      </c>
      <c r="C5" s="225" t="s">
        <v>367</v>
      </c>
      <c r="D5" s="171" t="s">
        <v>371</v>
      </c>
      <c r="E5" s="235">
        <v>46030</v>
      </c>
      <c r="F5" s="204">
        <v>91800</v>
      </c>
      <c r="G5" s="229"/>
      <c r="H5" s="229"/>
    </row>
    <row r="6" spans="1:8" ht="94.5">
      <c r="A6" s="171">
        <v>2</v>
      </c>
      <c r="B6" s="223" t="s">
        <v>368</v>
      </c>
      <c r="C6" s="225" t="s">
        <v>369</v>
      </c>
      <c r="D6" s="171" t="s">
        <v>370</v>
      </c>
      <c r="E6" s="235">
        <v>46031</v>
      </c>
      <c r="F6" s="204">
        <v>99800</v>
      </c>
      <c r="G6" s="229"/>
      <c r="H6" s="229"/>
    </row>
    <row r="7" spans="1:8" s="23" customFormat="1" ht="94.5">
      <c r="A7" s="314">
        <v>3</v>
      </c>
      <c r="B7" s="223" t="s">
        <v>308</v>
      </c>
      <c r="C7" s="225" t="s">
        <v>372</v>
      </c>
      <c r="D7" s="171" t="s">
        <v>371</v>
      </c>
      <c r="E7" s="235">
        <v>46181</v>
      </c>
      <c r="F7" s="204">
        <v>94300</v>
      </c>
      <c r="G7" s="206"/>
      <c r="H7" s="206"/>
    </row>
    <row r="8" spans="1:8" s="23" customFormat="1" ht="94.5">
      <c r="A8" s="314">
        <v>4</v>
      </c>
      <c r="B8" s="223" t="s">
        <v>799</v>
      </c>
      <c r="C8" s="225" t="s">
        <v>800</v>
      </c>
      <c r="D8" s="171" t="s">
        <v>801</v>
      </c>
      <c r="E8" s="200">
        <v>46258</v>
      </c>
      <c r="F8" s="204">
        <v>93800</v>
      </c>
      <c r="G8" s="171" t="s">
        <v>802</v>
      </c>
      <c r="H8" s="206"/>
    </row>
    <row r="9" spans="1:8" s="23" customFormat="1" ht="28.5">
      <c r="A9" s="433"/>
      <c r="B9" s="227"/>
      <c r="C9" s="228"/>
      <c r="D9" s="254"/>
      <c r="E9" s="255"/>
      <c r="F9" s="491"/>
      <c r="G9" s="206"/>
      <c r="H9" s="206"/>
    </row>
  </sheetData>
  <mergeCells count="1">
    <mergeCell ref="A1:H1"/>
  </mergeCells>
  <pageMargins left="0.25" right="0.25" top="0.75" bottom="0.75" header="0.3" footer="0.3"/>
  <pageSetup scale="42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view="pageBreakPreview" topLeftCell="A4" zoomScale="70" zoomScaleNormal="120" zoomScaleSheetLayoutView="70" workbookViewId="0">
      <selection activeCell="J5" sqref="J5"/>
    </sheetView>
  </sheetViews>
  <sheetFormatPr baseColWidth="10" defaultRowHeight="31.5"/>
  <cols>
    <col min="1" max="1" width="27.28515625" style="220" customWidth="1"/>
    <col min="2" max="2" width="29.5703125" style="187" customWidth="1"/>
    <col min="3" max="3" width="29.5703125" style="186" customWidth="1"/>
    <col min="4" max="4" width="26.42578125" style="187" customWidth="1"/>
    <col min="5" max="5" width="31.7109375" style="185" customWidth="1"/>
    <col min="6" max="6" width="32" style="187" customWidth="1"/>
    <col min="7" max="7" width="22.5703125" style="185" customWidth="1"/>
    <col min="8" max="8" width="30.5703125" style="185" customWidth="1"/>
    <col min="9" max="16384" width="11.42578125" style="185"/>
  </cols>
  <sheetData>
    <row r="2" spans="1:8" s="276" customFormat="1" ht="33.75">
      <c r="A2" s="542" t="s">
        <v>816</v>
      </c>
      <c r="B2" s="542"/>
      <c r="C2" s="542"/>
      <c r="D2" s="542"/>
      <c r="E2" s="542"/>
      <c r="F2" s="542"/>
      <c r="G2" s="542"/>
      <c r="H2" s="542"/>
    </row>
    <row r="3" spans="1:8" s="276" customFormat="1" ht="33.75">
      <c r="A3" s="277"/>
      <c r="B3" s="278"/>
      <c r="C3" s="279"/>
      <c r="D3" s="278"/>
      <c r="F3" s="278"/>
    </row>
    <row r="4" spans="1:8" s="276" customFormat="1" ht="33.75">
      <c r="A4" s="277"/>
      <c r="B4" s="278" t="s">
        <v>2</v>
      </c>
      <c r="C4" s="279"/>
      <c r="D4" s="278"/>
      <c r="F4" s="278"/>
    </row>
    <row r="5" spans="1:8" s="276" customFormat="1" ht="67.5">
      <c r="A5" s="189" t="s">
        <v>69</v>
      </c>
      <c r="B5" s="189" t="s">
        <v>3</v>
      </c>
      <c r="C5" s="189" t="s">
        <v>4</v>
      </c>
      <c r="D5" s="189" t="s">
        <v>21</v>
      </c>
      <c r="E5" s="189" t="s">
        <v>5</v>
      </c>
      <c r="F5" s="189" t="s">
        <v>16</v>
      </c>
      <c r="G5" s="189" t="s">
        <v>1</v>
      </c>
      <c r="H5" s="189" t="s">
        <v>7</v>
      </c>
    </row>
    <row r="6" spans="1:8" ht="63">
      <c r="A6" s="223" t="s">
        <v>373</v>
      </c>
      <c r="B6" s="225" t="s">
        <v>374</v>
      </c>
      <c r="C6" s="171" t="s">
        <v>375</v>
      </c>
      <c r="D6" s="235">
        <v>46163</v>
      </c>
      <c r="E6" s="204">
        <v>170000</v>
      </c>
      <c r="F6" s="171"/>
      <c r="G6" s="171"/>
      <c r="H6" s="171"/>
    </row>
    <row r="7" spans="1:8" ht="63">
      <c r="A7" s="223" t="s">
        <v>373</v>
      </c>
      <c r="B7" s="225" t="s">
        <v>374</v>
      </c>
      <c r="C7" s="171" t="s">
        <v>375</v>
      </c>
      <c r="D7" s="235">
        <v>46136</v>
      </c>
      <c r="E7" s="204">
        <v>85000</v>
      </c>
      <c r="F7" s="171"/>
      <c r="G7" s="171"/>
      <c r="H7" s="171"/>
    </row>
    <row r="8" spans="1:8" s="233" customFormat="1">
      <c r="A8" s="223"/>
      <c r="B8" s="225"/>
      <c r="C8" s="171"/>
      <c r="D8" s="235"/>
      <c r="E8" s="204"/>
      <c r="F8" s="351"/>
      <c r="G8" s="202"/>
      <c r="H8" s="202"/>
    </row>
    <row r="9" spans="1:8" s="233" customFormat="1">
      <c r="A9" s="223"/>
      <c r="B9" s="225"/>
      <c r="C9" s="253"/>
      <c r="D9" s="200"/>
      <c r="E9" s="204"/>
      <c r="F9" s="317"/>
      <c r="G9" s="202"/>
      <c r="H9" s="202"/>
    </row>
    <row r="10" spans="1:8" s="233" customFormat="1">
      <c r="A10" s="223"/>
      <c r="B10" s="225"/>
      <c r="C10" s="253"/>
      <c r="D10" s="200"/>
      <c r="E10" s="204"/>
      <c r="F10" s="317"/>
      <c r="G10" s="202"/>
      <c r="H10" s="202"/>
    </row>
    <row r="11" spans="1:8" s="233" customFormat="1">
      <c r="A11" s="223"/>
      <c r="B11" s="225"/>
      <c r="C11" s="253"/>
      <c r="D11" s="203"/>
      <c r="E11" s="204"/>
      <c r="F11" s="199"/>
      <c r="G11" s="202"/>
      <c r="H11" s="202"/>
    </row>
  </sheetData>
  <mergeCells count="1">
    <mergeCell ref="A2:H2"/>
  </mergeCells>
  <pageMargins left="0.25" right="0.25" top="0.75" bottom="0.75" header="0.3" footer="0.3"/>
  <pageSetup scale="44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view="pageBreakPreview" zoomScale="40" zoomScaleNormal="120" zoomScaleSheetLayoutView="40" workbookViewId="0">
      <selection activeCell="A5" sqref="A5:XFD8"/>
    </sheetView>
  </sheetViews>
  <sheetFormatPr baseColWidth="10" defaultRowHeight="22.5"/>
  <cols>
    <col min="1" max="1" width="11.42578125" style="62"/>
    <col min="2" max="2" width="28.7109375" style="71" customWidth="1"/>
    <col min="3" max="3" width="61.28515625" style="70" bestFit="1" customWidth="1"/>
    <col min="4" max="4" width="37" style="64" customWidth="1"/>
    <col min="5" max="5" width="29.28515625" style="70" customWidth="1"/>
    <col min="6" max="6" width="37.5703125" style="62" customWidth="1"/>
    <col min="7" max="7" width="25" style="62" customWidth="1"/>
    <col min="8" max="8" width="35.85546875" style="62" customWidth="1"/>
    <col min="9" max="16384" width="11.42578125" style="62"/>
  </cols>
  <sheetData>
    <row r="1" spans="1:9" ht="46.5">
      <c r="A1" s="540" t="s">
        <v>650</v>
      </c>
      <c r="B1" s="540"/>
      <c r="C1" s="540"/>
      <c r="D1" s="540"/>
      <c r="E1" s="540"/>
      <c r="F1" s="540"/>
      <c r="G1" s="540"/>
      <c r="H1" s="540"/>
    </row>
    <row r="2" spans="1:9" ht="28.5">
      <c r="B2" s="90"/>
      <c r="C2" s="91"/>
      <c r="D2" s="92"/>
    </row>
    <row r="3" spans="1:9" ht="24">
      <c r="B3" s="86"/>
      <c r="C3" s="87"/>
      <c r="D3" s="85"/>
    </row>
    <row r="4" spans="1:9">
      <c r="C4" s="70" t="s">
        <v>2</v>
      </c>
    </row>
    <row r="5" spans="1:9" s="150" customFormat="1" ht="66" customHeight="1">
      <c r="A5" s="494" t="s">
        <v>0</v>
      </c>
      <c r="B5" s="332" t="s">
        <v>69</v>
      </c>
      <c r="C5" s="332" t="s">
        <v>587</v>
      </c>
      <c r="D5" s="332" t="s">
        <v>4</v>
      </c>
      <c r="E5" s="332" t="s">
        <v>21</v>
      </c>
      <c r="F5" s="495" t="s">
        <v>5</v>
      </c>
      <c r="G5" s="332" t="s">
        <v>1</v>
      </c>
      <c r="H5" s="332" t="s">
        <v>7</v>
      </c>
      <c r="I5" s="156"/>
    </row>
    <row r="6" spans="1:9" ht="63">
      <c r="A6" s="524">
        <v>1</v>
      </c>
      <c r="B6" s="545" t="s">
        <v>380</v>
      </c>
      <c r="C6" s="225" t="s">
        <v>407</v>
      </c>
      <c r="D6" s="171" t="s">
        <v>383</v>
      </c>
      <c r="E6" s="235">
        <v>46066</v>
      </c>
      <c r="F6" s="296">
        <v>60574</v>
      </c>
      <c r="G6" s="175"/>
      <c r="H6" s="175"/>
    </row>
    <row r="7" spans="1:9" ht="62.25" customHeight="1">
      <c r="A7" s="576"/>
      <c r="B7" s="581"/>
      <c r="C7" s="225" t="s">
        <v>376</v>
      </c>
      <c r="D7" s="171" t="s">
        <v>377</v>
      </c>
      <c r="E7" s="235">
        <v>46031</v>
      </c>
      <c r="F7" s="297">
        <v>29637</v>
      </c>
      <c r="G7" s="175"/>
      <c r="H7" s="175"/>
    </row>
    <row r="8" spans="1:9" ht="65.25" customHeight="1">
      <c r="A8" s="525"/>
      <c r="B8" s="546"/>
      <c r="C8" s="225" t="s">
        <v>378</v>
      </c>
      <c r="D8" s="171" t="s">
        <v>379</v>
      </c>
      <c r="E8" s="235">
        <v>46043</v>
      </c>
      <c r="F8" s="297">
        <v>109370</v>
      </c>
      <c r="G8" s="175"/>
      <c r="H8" s="175"/>
    </row>
    <row r="9" spans="1:9" ht="31.5">
      <c r="A9" s="175"/>
      <c r="B9" s="582"/>
      <c r="C9" s="583"/>
      <c r="D9" s="583"/>
      <c r="E9" s="583"/>
      <c r="F9" s="583"/>
      <c r="G9" s="175"/>
      <c r="H9" s="175"/>
    </row>
    <row r="10" spans="1:9" s="77" customFormat="1" ht="60" customHeight="1">
      <c r="A10" s="571">
        <v>2</v>
      </c>
      <c r="B10" s="545" t="s">
        <v>390</v>
      </c>
      <c r="C10" s="225" t="s">
        <v>381</v>
      </c>
      <c r="D10" s="171" t="s">
        <v>377</v>
      </c>
      <c r="E10" s="235"/>
      <c r="F10" s="305" t="s">
        <v>651</v>
      </c>
      <c r="G10" s="202"/>
      <c r="H10" s="202"/>
    </row>
    <row r="11" spans="1:9" s="77" customFormat="1" ht="66" customHeight="1">
      <c r="A11" s="577"/>
      <c r="B11" s="581"/>
      <c r="C11" s="225" t="s">
        <v>382</v>
      </c>
      <c r="D11" s="171" t="s">
        <v>383</v>
      </c>
      <c r="E11" s="200"/>
      <c r="F11" s="297">
        <v>59936</v>
      </c>
      <c r="G11" s="202"/>
      <c r="H11" s="202"/>
    </row>
    <row r="12" spans="1:9" s="77" customFormat="1" ht="63.75" customHeight="1">
      <c r="A12" s="577"/>
      <c r="B12" s="546"/>
      <c r="C12" s="225" t="s">
        <v>408</v>
      </c>
      <c r="D12" s="171" t="s">
        <v>377</v>
      </c>
      <c r="E12" s="200">
        <v>46063</v>
      </c>
      <c r="F12" s="297">
        <v>37911</v>
      </c>
      <c r="G12" s="202"/>
      <c r="H12" s="202"/>
    </row>
    <row r="13" spans="1:9" s="77" customFormat="1" ht="72" customHeight="1">
      <c r="A13" s="572"/>
      <c r="B13" s="223" t="s">
        <v>384</v>
      </c>
      <c r="C13" s="225" t="s">
        <v>385</v>
      </c>
      <c r="D13" s="171" t="s">
        <v>386</v>
      </c>
      <c r="E13" s="200">
        <v>46040</v>
      </c>
      <c r="F13" s="297">
        <v>500592</v>
      </c>
      <c r="G13" s="202"/>
      <c r="H13" s="202"/>
    </row>
    <row r="14" spans="1:9" s="77" customFormat="1" ht="31.5">
      <c r="A14" s="202"/>
      <c r="B14" s="582"/>
      <c r="C14" s="583"/>
      <c r="D14" s="583"/>
      <c r="E14" s="583"/>
      <c r="F14" s="583"/>
      <c r="G14" s="202"/>
      <c r="H14" s="202"/>
    </row>
    <row r="15" spans="1:9" s="77" customFormat="1" ht="76.5" customHeight="1">
      <c r="A15" s="571">
        <v>3</v>
      </c>
      <c r="B15" s="223" t="s">
        <v>387</v>
      </c>
      <c r="C15" s="225" t="s">
        <v>402</v>
      </c>
      <c r="D15" s="171" t="s">
        <v>386</v>
      </c>
      <c r="E15" s="203"/>
      <c r="F15" s="297">
        <v>726468</v>
      </c>
      <c r="G15" s="202"/>
      <c r="H15" s="202"/>
    </row>
    <row r="16" spans="1:9" s="77" customFormat="1" ht="64.5" customHeight="1">
      <c r="A16" s="577"/>
      <c r="B16" s="223" t="s">
        <v>401</v>
      </c>
      <c r="C16" s="225" t="s">
        <v>388</v>
      </c>
      <c r="D16" s="171" t="s">
        <v>386</v>
      </c>
      <c r="E16" s="203"/>
      <c r="F16" s="297">
        <v>666293</v>
      </c>
      <c r="G16" s="202"/>
      <c r="H16" s="202"/>
    </row>
    <row r="17" spans="1:8" s="77" customFormat="1" ht="73.5" customHeight="1">
      <c r="A17" s="577"/>
      <c r="B17" s="223" t="s">
        <v>389</v>
      </c>
      <c r="C17" s="225" t="s">
        <v>391</v>
      </c>
      <c r="D17" s="225" t="s">
        <v>383</v>
      </c>
      <c r="E17" s="203">
        <v>46146</v>
      </c>
      <c r="F17" s="298">
        <v>62697</v>
      </c>
      <c r="G17" s="202"/>
      <c r="H17" s="202"/>
    </row>
    <row r="18" spans="1:8" s="77" customFormat="1" ht="55.5" customHeight="1">
      <c r="A18" s="572"/>
      <c r="B18" s="270" t="s">
        <v>397</v>
      </c>
      <c r="C18" s="225" t="s">
        <v>400</v>
      </c>
      <c r="D18" s="225" t="s">
        <v>386</v>
      </c>
      <c r="E18" s="203">
        <v>46115</v>
      </c>
      <c r="F18" s="298">
        <v>619688</v>
      </c>
      <c r="G18" s="202"/>
      <c r="H18" s="202"/>
    </row>
    <row r="19" spans="1:8" s="77" customFormat="1" ht="31.5">
      <c r="A19" s="202"/>
      <c r="B19" s="582"/>
      <c r="C19" s="583"/>
      <c r="D19" s="583"/>
      <c r="E19" s="583"/>
      <c r="F19" s="583"/>
      <c r="G19" s="202"/>
      <c r="H19" s="202"/>
    </row>
    <row r="20" spans="1:8" s="77" customFormat="1" ht="66" customHeight="1">
      <c r="A20" s="199">
        <v>4</v>
      </c>
      <c r="B20" s="270" t="s">
        <v>399</v>
      </c>
      <c r="C20" s="225" t="s">
        <v>398</v>
      </c>
      <c r="D20" s="225" t="s">
        <v>386</v>
      </c>
      <c r="E20" s="203">
        <v>46149</v>
      </c>
      <c r="F20" s="298">
        <v>679965</v>
      </c>
      <c r="G20" s="202"/>
      <c r="H20" s="202"/>
    </row>
    <row r="21" spans="1:8" s="77" customFormat="1" ht="31.5">
      <c r="A21" s="299"/>
      <c r="B21" s="270"/>
      <c r="C21" s="225"/>
      <c r="D21" s="225"/>
      <c r="E21" s="203"/>
      <c r="F21" s="298"/>
      <c r="G21" s="202"/>
      <c r="H21" s="202"/>
    </row>
    <row r="22" spans="1:8" s="77" customFormat="1" ht="55.5" customHeight="1">
      <c r="A22" s="571">
        <v>5</v>
      </c>
      <c r="B22" s="578" t="s">
        <v>392</v>
      </c>
      <c r="C22" s="225" t="s">
        <v>393</v>
      </c>
      <c r="D22" s="225" t="s">
        <v>383</v>
      </c>
      <c r="E22" s="203"/>
      <c r="F22" s="298">
        <v>54788</v>
      </c>
      <c r="G22" s="202"/>
      <c r="H22" s="202"/>
    </row>
    <row r="23" spans="1:8" s="77" customFormat="1" ht="57.75" customHeight="1">
      <c r="A23" s="577"/>
      <c r="B23" s="579"/>
      <c r="C23" s="225" t="s">
        <v>394</v>
      </c>
      <c r="D23" s="225" t="s">
        <v>395</v>
      </c>
      <c r="E23" s="203">
        <v>46181</v>
      </c>
      <c r="F23" s="298">
        <v>34991</v>
      </c>
      <c r="G23" s="202"/>
      <c r="H23" s="202"/>
    </row>
    <row r="24" spans="1:8" s="77" customFormat="1" ht="55.5" customHeight="1">
      <c r="A24" s="577"/>
      <c r="B24" s="579"/>
      <c r="C24" s="225" t="s">
        <v>396</v>
      </c>
      <c r="D24" s="225" t="s">
        <v>377</v>
      </c>
      <c r="E24" s="203">
        <v>46180</v>
      </c>
      <c r="F24" s="298">
        <v>34423</v>
      </c>
      <c r="G24" s="202"/>
      <c r="H24" s="202"/>
    </row>
    <row r="25" spans="1:8" s="77" customFormat="1" ht="55.5" customHeight="1">
      <c r="A25" s="577"/>
      <c r="B25" s="580"/>
      <c r="C25" s="225" t="s">
        <v>393</v>
      </c>
      <c r="D25" s="225" t="s">
        <v>383</v>
      </c>
      <c r="E25" s="203">
        <v>46181</v>
      </c>
      <c r="F25" s="298">
        <v>54788</v>
      </c>
      <c r="G25" s="202"/>
      <c r="H25" s="202"/>
    </row>
    <row r="26" spans="1:8" s="77" customFormat="1" ht="31.5">
      <c r="A26" s="573"/>
      <c r="B26" s="574"/>
      <c r="C26" s="574"/>
      <c r="D26" s="574"/>
      <c r="E26" s="574"/>
      <c r="F26" s="574"/>
      <c r="G26" s="574"/>
      <c r="H26" s="575"/>
    </row>
    <row r="27" spans="1:8" s="77" customFormat="1" ht="63">
      <c r="A27" s="300">
        <v>6</v>
      </c>
      <c r="B27" s="270" t="s">
        <v>403</v>
      </c>
      <c r="C27" s="225" t="s">
        <v>406</v>
      </c>
      <c r="D27" s="225" t="s">
        <v>386</v>
      </c>
      <c r="E27" s="203">
        <v>46177</v>
      </c>
      <c r="F27" s="298">
        <v>662338</v>
      </c>
      <c r="G27" s="199" t="s">
        <v>709</v>
      </c>
      <c r="H27" s="225" t="s">
        <v>727</v>
      </c>
    </row>
    <row r="28" spans="1:8" s="77" customFormat="1" ht="31.5">
      <c r="A28" s="202"/>
      <c r="B28" s="301"/>
      <c r="C28" s="302"/>
      <c r="D28" s="302"/>
      <c r="E28" s="302"/>
      <c r="F28" s="302"/>
      <c r="G28" s="202"/>
      <c r="H28" s="202"/>
    </row>
    <row r="29" spans="1:8" s="77" customFormat="1" ht="57" customHeight="1">
      <c r="A29" s="571">
        <v>7</v>
      </c>
      <c r="B29" s="264" t="s">
        <v>405</v>
      </c>
      <c r="C29" s="225" t="s">
        <v>404</v>
      </c>
      <c r="D29" s="225" t="s">
        <v>386</v>
      </c>
      <c r="E29" s="203">
        <v>46209</v>
      </c>
      <c r="F29" s="298">
        <v>634390</v>
      </c>
      <c r="G29" s="202"/>
      <c r="H29" s="202"/>
    </row>
    <row r="30" spans="1:8" s="77" customFormat="1" ht="60" customHeight="1">
      <c r="A30" s="572"/>
      <c r="B30" s="269" t="s">
        <v>575</v>
      </c>
      <c r="C30" s="225" t="s">
        <v>576</v>
      </c>
      <c r="D30" s="225" t="s">
        <v>395</v>
      </c>
      <c r="E30" s="303">
        <v>46247</v>
      </c>
      <c r="F30" s="304">
        <v>51289</v>
      </c>
      <c r="G30" s="202"/>
      <c r="H30" s="202"/>
    </row>
    <row r="31" spans="1:8" s="77" customFormat="1" ht="65.25" customHeight="1">
      <c r="A31" s="199">
        <v>8</v>
      </c>
      <c r="B31" s="264" t="s">
        <v>540</v>
      </c>
      <c r="C31" s="225" t="s">
        <v>541</v>
      </c>
      <c r="D31" s="225" t="s">
        <v>386</v>
      </c>
      <c r="E31" s="203">
        <v>46240</v>
      </c>
      <c r="F31" s="298">
        <v>521919</v>
      </c>
      <c r="G31" s="202"/>
      <c r="H31" s="202"/>
    </row>
    <row r="32" spans="1:8" ht="31.5">
      <c r="A32" s="218"/>
      <c r="B32" s="306"/>
      <c r="C32" s="213"/>
      <c r="D32" s="307"/>
      <c r="E32" s="308"/>
      <c r="F32" s="309"/>
      <c r="G32" s="218"/>
      <c r="H32" s="218"/>
    </row>
    <row r="33" spans="1:8" ht="31.5">
      <c r="A33" s="185"/>
      <c r="B33" s="220"/>
      <c r="C33" s="187"/>
      <c r="D33" s="186"/>
      <c r="E33" s="187"/>
      <c r="F33" s="158"/>
      <c r="G33" s="185"/>
      <c r="H33" s="185"/>
    </row>
    <row r="34" spans="1:8" ht="31.5">
      <c r="A34" s="185"/>
      <c r="B34" s="220"/>
      <c r="C34" s="187"/>
      <c r="D34" s="186"/>
      <c r="E34" s="187"/>
      <c r="F34" s="185"/>
      <c r="G34" s="185"/>
      <c r="H34" s="185"/>
    </row>
    <row r="35" spans="1:8" ht="31.5">
      <c r="A35" s="185"/>
      <c r="B35" s="220"/>
      <c r="C35" s="187"/>
      <c r="D35" s="186"/>
      <c r="E35" s="187"/>
      <c r="F35" s="185"/>
      <c r="G35" s="185"/>
      <c r="H35" s="185"/>
    </row>
  </sheetData>
  <mergeCells count="13">
    <mergeCell ref="A1:H1"/>
    <mergeCell ref="A29:A30"/>
    <mergeCell ref="A26:H26"/>
    <mergeCell ref="A6:A8"/>
    <mergeCell ref="A10:A13"/>
    <mergeCell ref="A15:A18"/>
    <mergeCell ref="A22:A25"/>
    <mergeCell ref="B22:B25"/>
    <mergeCell ref="B6:B8"/>
    <mergeCell ref="B10:B12"/>
    <mergeCell ref="B9:F9"/>
    <mergeCell ref="B14:F14"/>
    <mergeCell ref="B19:F19"/>
  </mergeCells>
  <pageMargins left="0.25" right="0.25" top="0.75" bottom="0.75" header="0.3" footer="0.3"/>
  <pageSetup scale="37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view="pageBreakPreview" topLeftCell="B1" zoomScale="60" zoomScaleNormal="120" workbookViewId="0">
      <selection activeCell="B5" sqref="B5:G15"/>
    </sheetView>
  </sheetViews>
  <sheetFormatPr baseColWidth="10" defaultRowHeight="18"/>
  <cols>
    <col min="1" max="1" width="8" style="47" customWidth="1"/>
    <col min="2" max="2" width="26.5703125" style="104" bestFit="1" customWidth="1"/>
    <col min="3" max="3" width="70.42578125" style="47" bestFit="1" customWidth="1"/>
    <col min="4" max="4" width="34.42578125" style="46" customWidth="1"/>
    <col min="5" max="5" width="33.7109375" style="47" bestFit="1" customWidth="1"/>
    <col min="6" max="6" width="34.140625" style="48" bestFit="1" customWidth="1"/>
    <col min="7" max="7" width="22.28515625" style="48" bestFit="1" customWidth="1"/>
    <col min="8" max="16384" width="11.42578125" style="48"/>
  </cols>
  <sheetData>
    <row r="2" spans="1:7" s="100" customFormat="1" ht="43.5">
      <c r="A2" s="541" t="s">
        <v>652</v>
      </c>
      <c r="B2" s="541"/>
      <c r="C2" s="541"/>
      <c r="D2" s="541"/>
      <c r="E2" s="541"/>
      <c r="F2" s="541"/>
      <c r="G2" s="541"/>
    </row>
    <row r="3" spans="1:7" s="117" customFormat="1" ht="18.75">
      <c r="A3" s="125"/>
      <c r="B3" s="114"/>
      <c r="C3" s="127"/>
      <c r="D3" s="124"/>
      <c r="E3" s="125"/>
    </row>
    <row r="4" spans="1:7" s="117" customFormat="1" ht="18.75">
      <c r="A4" s="125"/>
      <c r="B4" s="123"/>
      <c r="C4" s="125" t="s">
        <v>2</v>
      </c>
      <c r="D4" s="124"/>
      <c r="E4" s="125"/>
    </row>
    <row r="5" spans="1:7" s="117" customFormat="1" ht="73.5">
      <c r="A5" s="190" t="s">
        <v>0</v>
      </c>
      <c r="B5" s="190" t="s">
        <v>69</v>
      </c>
      <c r="C5" s="190" t="s">
        <v>587</v>
      </c>
      <c r="D5" s="190" t="s">
        <v>4</v>
      </c>
      <c r="E5" s="190" t="s">
        <v>21</v>
      </c>
      <c r="F5" s="190" t="s">
        <v>5</v>
      </c>
      <c r="G5" s="190" t="s">
        <v>1</v>
      </c>
    </row>
    <row r="6" spans="1:7" s="108" customFormat="1" ht="63">
      <c r="A6" s="247">
        <v>1</v>
      </c>
      <c r="B6" s="223" t="s">
        <v>384</v>
      </c>
      <c r="C6" s="225" t="s">
        <v>409</v>
      </c>
      <c r="D6" s="171" t="s">
        <v>386</v>
      </c>
      <c r="E6" s="200">
        <v>46043</v>
      </c>
      <c r="F6" s="204">
        <v>55874</v>
      </c>
      <c r="G6" s="202"/>
    </row>
    <row r="7" spans="1:7" s="108" customFormat="1" ht="48.75" customHeight="1">
      <c r="A7" s="248">
        <v>2</v>
      </c>
      <c r="B7" s="223" t="s">
        <v>410</v>
      </c>
      <c r="C7" s="225" t="s">
        <v>411</v>
      </c>
      <c r="D7" s="171"/>
      <c r="E7" s="203">
        <v>46071</v>
      </c>
      <c r="F7" s="204">
        <v>55874</v>
      </c>
      <c r="G7" s="202"/>
    </row>
    <row r="8" spans="1:7" s="108" customFormat="1" ht="51" customHeight="1">
      <c r="A8" s="247">
        <v>3</v>
      </c>
      <c r="B8" s="223" t="s">
        <v>401</v>
      </c>
      <c r="C8" s="225" t="s">
        <v>412</v>
      </c>
      <c r="D8" s="171"/>
      <c r="E8" s="203">
        <v>46099</v>
      </c>
      <c r="F8" s="204">
        <v>55874</v>
      </c>
      <c r="G8" s="202"/>
    </row>
    <row r="9" spans="1:7" s="108" customFormat="1" ht="52.5" customHeight="1">
      <c r="A9" s="248">
        <v>4</v>
      </c>
      <c r="B9" s="223" t="s">
        <v>413</v>
      </c>
      <c r="C9" s="225" t="s">
        <v>414</v>
      </c>
      <c r="D9" s="171"/>
      <c r="E9" s="203">
        <v>46132</v>
      </c>
      <c r="F9" s="205">
        <v>55874</v>
      </c>
      <c r="G9" s="202"/>
    </row>
    <row r="10" spans="1:7" s="108" customFormat="1" ht="53.25" customHeight="1">
      <c r="A10" s="248">
        <v>5</v>
      </c>
      <c r="B10" s="240" t="s">
        <v>415</v>
      </c>
      <c r="C10" s="225" t="s">
        <v>416</v>
      </c>
      <c r="D10" s="171" t="s">
        <v>383</v>
      </c>
      <c r="E10" s="203">
        <v>46099</v>
      </c>
      <c r="F10" s="205">
        <v>12700</v>
      </c>
      <c r="G10" s="202"/>
    </row>
    <row r="11" spans="1:7" s="108" customFormat="1" ht="47.25" customHeight="1">
      <c r="A11" s="248">
        <v>6</v>
      </c>
      <c r="B11" s="223" t="s">
        <v>399</v>
      </c>
      <c r="C11" s="199" t="s">
        <v>417</v>
      </c>
      <c r="D11" s="225"/>
      <c r="E11" s="203">
        <v>46160</v>
      </c>
      <c r="F11" s="205">
        <v>55874</v>
      </c>
      <c r="G11" s="202"/>
    </row>
    <row r="12" spans="1:7" s="108" customFormat="1" ht="51.75" customHeight="1">
      <c r="A12" s="247">
        <v>7</v>
      </c>
      <c r="B12" s="223" t="s">
        <v>403</v>
      </c>
      <c r="C12" s="199" t="s">
        <v>418</v>
      </c>
      <c r="D12" s="225"/>
      <c r="E12" s="203">
        <v>46230</v>
      </c>
      <c r="F12" s="205">
        <v>55824</v>
      </c>
      <c r="G12" s="202"/>
    </row>
    <row r="13" spans="1:7" s="108" customFormat="1" ht="51.75" customHeight="1">
      <c r="A13" s="247">
        <v>8</v>
      </c>
      <c r="B13" s="223" t="s">
        <v>540</v>
      </c>
      <c r="C13" s="199" t="s">
        <v>692</v>
      </c>
      <c r="D13" s="225"/>
      <c r="E13" s="203">
        <v>46253</v>
      </c>
      <c r="F13" s="205">
        <v>55824</v>
      </c>
      <c r="G13" s="202"/>
    </row>
    <row r="14" spans="1:7" s="108" customFormat="1" ht="51.75" customHeight="1">
      <c r="A14" s="247"/>
      <c r="B14" s="223"/>
      <c r="C14" s="199"/>
      <c r="D14" s="225"/>
      <c r="E14" s="203"/>
      <c r="F14" s="205"/>
      <c r="G14" s="202"/>
    </row>
    <row r="15" spans="1:7" s="108" customFormat="1" ht="27.75" customHeight="1">
      <c r="A15" s="475"/>
      <c r="B15" s="264"/>
      <c r="C15" s="225"/>
      <c r="D15" s="225"/>
      <c r="E15" s="203"/>
      <c r="F15" s="246">
        <f>SUM(F6:F14)</f>
        <v>403718</v>
      </c>
      <c r="G15" s="202"/>
    </row>
    <row r="16" spans="1:7" s="504" customFormat="1" ht="32.25" customHeight="1">
      <c r="A16" s="497"/>
      <c r="B16" s="498"/>
      <c r="C16" s="499"/>
      <c r="D16" s="500"/>
      <c r="E16" s="501"/>
      <c r="F16" s="502"/>
      <c r="G16" s="503"/>
    </row>
    <row r="17" spans="1:7" s="496" customFormat="1" ht="31.5">
      <c r="A17" s="213"/>
      <c r="B17" s="306"/>
      <c r="C17" s="213"/>
      <c r="D17" s="307"/>
      <c r="E17" s="308"/>
      <c r="F17" s="309"/>
      <c r="G17" s="218"/>
    </row>
    <row r="18" spans="1:7" s="337" customFormat="1" ht="34.5">
      <c r="A18" s="334"/>
      <c r="B18" s="335" t="s">
        <v>780</v>
      </c>
      <c r="C18" s="334"/>
      <c r="D18" s="336"/>
      <c r="E18" s="334"/>
    </row>
    <row r="19" spans="1:7" s="337" customFormat="1" ht="34.5">
      <c r="A19" s="334"/>
      <c r="B19" s="335"/>
      <c r="C19" s="334"/>
      <c r="D19" s="336"/>
      <c r="E19" s="334"/>
    </row>
    <row r="20" spans="1:7" s="337" customFormat="1" ht="34.5">
      <c r="A20" s="334"/>
      <c r="B20" s="335"/>
      <c r="C20" s="334"/>
      <c r="D20" s="336"/>
      <c r="E20" s="334"/>
    </row>
  </sheetData>
  <mergeCells count="1">
    <mergeCell ref="A2:G2"/>
  </mergeCells>
  <pageMargins left="0.25" right="0.25" top="0.75" bottom="0.75" header="0.3" footer="0.3"/>
  <pageSetup scale="40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view="pageBreakPreview" zoomScale="60" zoomScaleNormal="120" workbookViewId="0">
      <selection activeCell="C6" sqref="C6"/>
    </sheetView>
  </sheetViews>
  <sheetFormatPr baseColWidth="10" defaultRowHeight="18.75"/>
  <cols>
    <col min="1" max="1" width="9.140625" style="42" customWidth="1"/>
    <col min="2" max="2" width="18" style="43" customWidth="1"/>
    <col min="3" max="3" width="43.85546875" style="42" bestFit="1" customWidth="1"/>
    <col min="4" max="4" width="40" style="153" customWidth="1"/>
    <col min="5" max="5" width="25.7109375" style="42" bestFit="1" customWidth="1"/>
    <col min="6" max="6" width="32" style="38" bestFit="1" customWidth="1"/>
    <col min="7" max="7" width="21.140625" style="38" customWidth="1"/>
    <col min="8" max="8" width="32.85546875" style="38" customWidth="1"/>
    <col min="9" max="16384" width="11.42578125" style="38"/>
  </cols>
  <sheetData>
    <row r="2" spans="1:8" s="98" customFormat="1" ht="46.5">
      <c r="A2" s="540" t="s">
        <v>654</v>
      </c>
      <c r="B2" s="540"/>
      <c r="C2" s="540"/>
      <c r="D2" s="540"/>
      <c r="E2" s="540"/>
      <c r="F2" s="540"/>
      <c r="G2" s="540"/>
      <c r="H2" s="540"/>
    </row>
    <row r="3" spans="1:8" s="98" customFormat="1" ht="21.75">
      <c r="A3" s="115"/>
      <c r="B3" s="126"/>
      <c r="C3" s="145"/>
      <c r="D3" s="45"/>
      <c r="E3" s="152"/>
    </row>
    <row r="4" spans="1:8" s="98" customFormat="1" ht="21.75">
      <c r="A4" s="152"/>
      <c r="B4" s="126"/>
      <c r="C4" s="152" t="s">
        <v>2</v>
      </c>
      <c r="D4" s="45"/>
      <c r="E4" s="152"/>
    </row>
    <row r="5" spans="1:8" s="98" customFormat="1" ht="67.5">
      <c r="A5" s="189" t="s">
        <v>0</v>
      </c>
      <c r="B5" s="189" t="s">
        <v>69</v>
      </c>
      <c r="C5" s="189" t="s">
        <v>587</v>
      </c>
      <c r="D5" s="189" t="s">
        <v>4</v>
      </c>
      <c r="E5" s="189" t="s">
        <v>21</v>
      </c>
      <c r="F5" s="189" t="s">
        <v>5</v>
      </c>
      <c r="G5" s="189" t="s">
        <v>1</v>
      </c>
      <c r="H5" s="189" t="s">
        <v>7</v>
      </c>
    </row>
    <row r="6" spans="1:8" s="44" customFormat="1" ht="94.5">
      <c r="A6" s="247">
        <v>1</v>
      </c>
      <c r="B6" s="223" t="s">
        <v>384</v>
      </c>
      <c r="C6" s="225" t="s">
        <v>422</v>
      </c>
      <c r="D6" s="171" t="s">
        <v>423</v>
      </c>
      <c r="E6" s="200">
        <v>46231</v>
      </c>
      <c r="F6" s="239">
        <v>594500</v>
      </c>
      <c r="G6" s="199" t="s">
        <v>709</v>
      </c>
      <c r="H6" s="225" t="s">
        <v>749</v>
      </c>
    </row>
    <row r="7" spans="1:8" s="44" customFormat="1" ht="31.5">
      <c r="A7" s="199"/>
      <c r="B7" s="223"/>
      <c r="C7" s="225"/>
      <c r="D7" s="171"/>
      <c r="E7" s="203"/>
      <c r="F7" s="226"/>
      <c r="G7" s="202"/>
      <c r="H7" s="202"/>
    </row>
    <row r="8" spans="1:8" s="44" customFormat="1" ht="31.5">
      <c r="A8" s="317"/>
      <c r="B8" s="223"/>
      <c r="C8" s="225"/>
      <c r="D8" s="171"/>
      <c r="E8" s="203"/>
      <c r="F8" s="226">
        <f>SUM(F6:F7)</f>
        <v>594500</v>
      </c>
      <c r="G8" s="202"/>
      <c r="H8" s="202"/>
    </row>
    <row r="10" spans="1:8" s="320" customFormat="1" ht="31.5">
      <c r="A10" s="281" t="s">
        <v>747</v>
      </c>
      <c r="B10" s="318"/>
      <c r="C10" s="41"/>
      <c r="D10" s="319"/>
      <c r="E10" s="41"/>
    </row>
    <row r="11" spans="1:8" s="320" customFormat="1" ht="31.5">
      <c r="A11" s="281" t="s">
        <v>748</v>
      </c>
      <c r="B11" s="318"/>
      <c r="C11" s="41"/>
      <c r="D11" s="319"/>
      <c r="E11" s="41"/>
    </row>
    <row r="12" spans="1:8" s="320" customFormat="1" ht="31.5">
      <c r="A12" s="321"/>
      <c r="B12" s="318"/>
      <c r="C12" s="41"/>
      <c r="D12" s="319"/>
      <c r="E12" s="41"/>
    </row>
  </sheetData>
  <mergeCells count="1">
    <mergeCell ref="A2:H2"/>
  </mergeCells>
  <pageMargins left="0.25" right="0.25" top="0.75" bottom="0.75" header="0.3" footer="0.3"/>
  <pageSetup scale="44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view="pageBreakPreview" zoomScale="60" zoomScaleNormal="120" workbookViewId="0">
      <selection activeCell="C6" sqref="C6"/>
    </sheetView>
  </sheetViews>
  <sheetFormatPr baseColWidth="10" defaultColWidth="27.42578125" defaultRowHeight="15.75"/>
  <cols>
    <col min="1" max="1" width="27.7109375" style="19" customWidth="1"/>
    <col min="2" max="2" width="27.42578125" style="10"/>
    <col min="3" max="3" width="56.5703125" style="4" customWidth="1"/>
    <col min="4" max="4" width="27.5703125" style="10" bestFit="1" customWidth="1"/>
    <col min="5" max="5" width="35.5703125" style="1" bestFit="1" customWidth="1"/>
    <col min="6" max="6" width="27.42578125" style="1"/>
    <col min="7" max="7" width="35.28515625" style="1" customWidth="1"/>
    <col min="8" max="16384" width="27.42578125" style="1"/>
  </cols>
  <sheetData>
    <row r="2" spans="1:7" s="100" customFormat="1" ht="46.5">
      <c r="A2" s="540" t="s">
        <v>655</v>
      </c>
      <c r="B2" s="540"/>
      <c r="C2" s="540"/>
      <c r="D2" s="540"/>
      <c r="E2" s="540"/>
      <c r="F2" s="540"/>
      <c r="G2" s="540"/>
    </row>
    <row r="3" spans="1:7" s="100" customFormat="1" ht="24">
      <c r="A3" s="83"/>
      <c r="B3" s="84"/>
      <c r="C3" s="85"/>
      <c r="D3" s="87"/>
    </row>
    <row r="4" spans="1:7" s="100" customFormat="1" ht="24">
      <c r="A4" s="86"/>
      <c r="B4" s="87" t="s">
        <v>2</v>
      </c>
      <c r="C4" s="85"/>
      <c r="D4" s="87"/>
    </row>
    <row r="5" spans="1:7" s="100" customFormat="1" ht="73.5">
      <c r="A5" s="190" t="s">
        <v>69</v>
      </c>
      <c r="B5" s="190" t="s">
        <v>587</v>
      </c>
      <c r="C5" s="190" t="s">
        <v>4</v>
      </c>
      <c r="D5" s="190" t="s">
        <v>21</v>
      </c>
      <c r="E5" s="190" t="s">
        <v>5</v>
      </c>
      <c r="F5" s="190" t="s">
        <v>1</v>
      </c>
      <c r="G5" s="190" t="s">
        <v>7</v>
      </c>
    </row>
    <row r="6" spans="1:7" s="23" customFormat="1" ht="63">
      <c r="A6" s="223" t="s">
        <v>308</v>
      </c>
      <c r="B6" s="225" t="s">
        <v>32</v>
      </c>
      <c r="C6" s="171" t="s">
        <v>424</v>
      </c>
      <c r="D6" s="200">
        <v>46184</v>
      </c>
      <c r="E6" s="201">
        <v>1842950</v>
      </c>
      <c r="F6" s="202"/>
      <c r="G6" s="202"/>
    </row>
    <row r="7" spans="1:7" s="23" customFormat="1" ht="31.5">
      <c r="A7" s="223"/>
      <c r="B7" s="225"/>
      <c r="C7" s="171"/>
      <c r="D7" s="203"/>
      <c r="E7" s="204"/>
      <c r="F7" s="202"/>
      <c r="G7" s="202"/>
    </row>
    <row r="8" spans="1:7" s="23" customFormat="1" ht="31.5">
      <c r="A8" s="223"/>
      <c r="B8" s="225"/>
      <c r="C8" s="171"/>
      <c r="D8" s="203"/>
      <c r="E8" s="204"/>
      <c r="F8" s="202"/>
      <c r="G8" s="202"/>
    </row>
    <row r="9" spans="1:7" s="23" customFormat="1" ht="31.5">
      <c r="A9" s="223"/>
      <c r="B9" s="225"/>
      <c r="C9" s="171"/>
      <c r="D9" s="203"/>
      <c r="E9" s="205"/>
      <c r="F9" s="202"/>
      <c r="G9" s="202"/>
    </row>
    <row r="10" spans="1:7" s="23" customFormat="1" ht="31.5">
      <c r="A10" s="240"/>
      <c r="B10" s="225"/>
      <c r="C10" s="171"/>
      <c r="D10" s="203"/>
      <c r="E10" s="241">
        <f>SUM(E6:E9)</f>
        <v>1842950</v>
      </c>
      <c r="F10" s="202"/>
      <c r="G10" s="202"/>
    </row>
  </sheetData>
  <mergeCells count="1">
    <mergeCell ref="A2:G2"/>
  </mergeCells>
  <pageMargins left="0.51181102362204722" right="0.51181102362204722" top="0.55118110236220474" bottom="0.55118110236220474" header="0.31496062992125984" footer="0.31496062992125984"/>
  <pageSetup scale="40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view="pageBreakPreview" zoomScale="60" zoomScaleNormal="120" workbookViewId="0">
      <selection activeCell="A2" sqref="A2:G2"/>
    </sheetView>
  </sheetViews>
  <sheetFormatPr baseColWidth="10" defaultRowHeight="21"/>
  <cols>
    <col min="1" max="1" width="11" style="50" customWidth="1"/>
    <col min="2" max="2" width="29.5703125" style="52" customWidth="1"/>
    <col min="3" max="3" width="54" style="50" customWidth="1"/>
    <col min="4" max="4" width="67" style="49" customWidth="1"/>
    <col min="5" max="5" width="31" style="50" customWidth="1"/>
    <col min="6" max="6" width="48.7109375" style="51" customWidth="1"/>
    <col min="7" max="7" width="30" style="51" customWidth="1"/>
    <col min="8" max="16384" width="11.42578125" style="51"/>
  </cols>
  <sheetData>
    <row r="2" spans="1:7" s="150" customFormat="1" ht="46.5">
      <c r="A2" s="540" t="s">
        <v>656</v>
      </c>
      <c r="B2" s="540"/>
      <c r="C2" s="540"/>
      <c r="D2" s="540"/>
      <c r="E2" s="540"/>
      <c r="F2" s="540"/>
      <c r="G2" s="540"/>
    </row>
    <row r="3" spans="1:7" s="98" customFormat="1" ht="18" customHeight="1">
      <c r="A3" s="152"/>
      <c r="B3" s="115"/>
      <c r="C3" s="145"/>
      <c r="D3" s="45"/>
      <c r="E3" s="152"/>
    </row>
    <row r="4" spans="1:7" s="98" customFormat="1" ht="21.75">
      <c r="A4" s="152"/>
      <c r="B4" s="126"/>
      <c r="C4" s="152" t="s">
        <v>2</v>
      </c>
      <c r="D4" s="45"/>
      <c r="E4" s="152"/>
    </row>
    <row r="5" spans="1:7" s="100" customFormat="1" ht="73.5">
      <c r="A5" s="190" t="s">
        <v>0</v>
      </c>
      <c r="B5" s="190" t="s">
        <v>69</v>
      </c>
      <c r="C5" s="190" t="s">
        <v>587</v>
      </c>
      <c r="D5" s="190" t="s">
        <v>4</v>
      </c>
      <c r="E5" s="190" t="s">
        <v>21</v>
      </c>
      <c r="F5" s="190" t="s">
        <v>5</v>
      </c>
      <c r="G5" s="190" t="s">
        <v>1</v>
      </c>
    </row>
    <row r="6" spans="1:7" s="77" customFormat="1" ht="103.5">
      <c r="A6" s="250">
        <v>1</v>
      </c>
      <c r="B6" s="343" t="s">
        <v>664</v>
      </c>
      <c r="C6" s="242" t="s">
        <v>425</v>
      </c>
      <c r="D6" s="180" t="s">
        <v>426</v>
      </c>
      <c r="E6" s="243">
        <v>46184</v>
      </c>
      <c r="F6" s="442">
        <v>2259100</v>
      </c>
      <c r="G6" s="202"/>
    </row>
    <row r="7" spans="1:7" s="77" customFormat="1" ht="379.5">
      <c r="A7" s="251">
        <v>2</v>
      </c>
      <c r="B7" s="343"/>
      <c r="C7" s="242" t="s">
        <v>427</v>
      </c>
      <c r="D7" s="252" t="s">
        <v>663</v>
      </c>
      <c r="E7" s="245"/>
      <c r="F7" s="344">
        <v>7490700</v>
      </c>
      <c r="G7" s="202"/>
    </row>
    <row r="8" spans="1:7" s="77" customFormat="1" ht="146.25" customHeight="1">
      <c r="A8" s="250">
        <v>3</v>
      </c>
      <c r="B8" s="343"/>
      <c r="C8" s="242" t="s">
        <v>428</v>
      </c>
      <c r="D8" s="180" t="s">
        <v>429</v>
      </c>
      <c r="E8" s="245"/>
      <c r="F8" s="344">
        <v>5350500</v>
      </c>
      <c r="G8" s="202"/>
    </row>
    <row r="9" spans="1:7" s="77" customFormat="1" ht="128.25" customHeight="1">
      <c r="A9" s="251">
        <v>4</v>
      </c>
      <c r="B9" s="343"/>
      <c r="C9" s="242" t="s">
        <v>430</v>
      </c>
      <c r="D9" s="180" t="s">
        <v>431</v>
      </c>
      <c r="E9" s="245"/>
      <c r="F9" s="348">
        <v>4993800</v>
      </c>
      <c r="G9" s="202"/>
    </row>
    <row r="10" spans="1:7" s="77" customFormat="1" ht="31.5">
      <c r="A10" s="199"/>
      <c r="B10" s="223"/>
      <c r="C10" s="199"/>
      <c r="D10" s="171"/>
      <c r="E10" s="200"/>
      <c r="F10" s="201"/>
      <c r="G10" s="202"/>
    </row>
    <row r="11" spans="1:7" s="77" customFormat="1" ht="74.25" customHeight="1">
      <c r="A11" s="199"/>
      <c r="B11" s="240"/>
      <c r="C11" s="225"/>
      <c r="D11" s="171"/>
      <c r="E11" s="203"/>
      <c r="F11" s="241">
        <f>SUM(F6:F10)</f>
        <v>20094100</v>
      </c>
      <c r="G11" s="202"/>
    </row>
    <row r="12" spans="1:7" s="77" customFormat="1" ht="31.5">
      <c r="A12" s="199"/>
      <c r="B12" s="240"/>
      <c r="C12" s="249"/>
      <c r="D12" s="171"/>
      <c r="E12" s="203"/>
      <c r="F12" s="205"/>
      <c r="G12" s="202"/>
    </row>
  </sheetData>
  <mergeCells count="1">
    <mergeCell ref="A2:G2"/>
  </mergeCells>
  <pageMargins left="0.25" right="0.25" top="0.75" bottom="0.75" header="0.3" footer="0.3"/>
  <pageSetup scale="36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"/>
  <sheetViews>
    <sheetView view="pageBreakPreview" zoomScale="70" zoomScaleNormal="120" zoomScaleSheetLayoutView="70" workbookViewId="0">
      <selection activeCell="C6" sqref="C6"/>
    </sheetView>
  </sheetViews>
  <sheetFormatPr baseColWidth="10" defaultRowHeight="15.75"/>
  <cols>
    <col min="1" max="1" width="28.85546875" style="19" customWidth="1"/>
    <col min="2" max="2" width="63.5703125" style="10" customWidth="1"/>
    <col min="3" max="3" width="30" style="4" customWidth="1"/>
    <col min="4" max="4" width="27" style="10" customWidth="1"/>
    <col min="5" max="5" width="35.7109375" style="1" customWidth="1"/>
    <col min="6" max="6" width="24" style="1" customWidth="1"/>
    <col min="7" max="7" width="29.85546875" style="1" customWidth="1"/>
    <col min="8" max="16384" width="11.42578125" style="1"/>
  </cols>
  <sheetData>
    <row r="2" spans="1:7" s="117" customFormat="1" ht="46.5">
      <c r="A2" s="540" t="s">
        <v>658</v>
      </c>
      <c r="B2" s="540"/>
      <c r="C2" s="540"/>
      <c r="D2" s="540"/>
      <c r="E2" s="540"/>
      <c r="F2" s="540"/>
      <c r="G2" s="540"/>
    </row>
    <row r="3" spans="1:7" s="117" customFormat="1" ht="18.75">
      <c r="A3" s="114"/>
      <c r="B3" s="127"/>
      <c r="C3" s="124"/>
      <c r="D3" s="125"/>
    </row>
    <row r="4" spans="1:7" s="117" customFormat="1" ht="18.75">
      <c r="A4" s="123"/>
      <c r="B4" s="125" t="s">
        <v>2</v>
      </c>
      <c r="C4" s="124"/>
      <c r="D4" s="125"/>
    </row>
    <row r="5" spans="1:7" s="100" customFormat="1" ht="67.5">
      <c r="A5" s="189" t="s">
        <v>69</v>
      </c>
      <c r="B5" s="189" t="s">
        <v>657</v>
      </c>
      <c r="C5" s="189" t="s">
        <v>4</v>
      </c>
      <c r="D5" s="189" t="s">
        <v>21</v>
      </c>
      <c r="E5" s="189" t="s">
        <v>5</v>
      </c>
      <c r="F5" s="189" t="s">
        <v>1</v>
      </c>
      <c r="G5" s="189" t="s">
        <v>7</v>
      </c>
    </row>
    <row r="6" spans="1:7" s="44" customFormat="1" ht="94.5">
      <c r="A6" s="223" t="s">
        <v>290</v>
      </c>
      <c r="B6" s="249" t="s">
        <v>433</v>
      </c>
      <c r="C6" s="171" t="s">
        <v>434</v>
      </c>
      <c r="D6" s="200">
        <v>46210</v>
      </c>
      <c r="E6" s="201">
        <v>1520000</v>
      </c>
      <c r="F6" s="202"/>
      <c r="G6" s="202"/>
    </row>
    <row r="7" spans="1:7" s="23" customFormat="1" ht="28.5">
      <c r="A7" s="227"/>
      <c r="B7" s="228"/>
      <c r="C7" s="229"/>
      <c r="D7" s="230"/>
      <c r="E7" s="256"/>
      <c r="F7" s="206"/>
      <c r="G7" s="206"/>
    </row>
    <row r="8" spans="1:7" s="23" customFormat="1" ht="28.5">
      <c r="A8" s="227"/>
      <c r="B8" s="228"/>
      <c r="C8" s="229"/>
      <c r="D8" s="230"/>
      <c r="E8" s="256"/>
      <c r="F8" s="206"/>
      <c r="G8" s="206"/>
    </row>
    <row r="9" spans="1:7" s="23" customFormat="1" ht="31.5">
      <c r="A9" s="227"/>
      <c r="B9" s="228"/>
      <c r="C9" s="229"/>
      <c r="D9" s="230"/>
      <c r="E9" s="241">
        <f>SUM(E6:E8)</f>
        <v>1520000</v>
      </c>
      <c r="F9" s="206"/>
      <c r="G9" s="206"/>
    </row>
  </sheetData>
  <mergeCells count="1">
    <mergeCell ref="A2:G2"/>
  </mergeCells>
  <pageMargins left="0.25" right="0.25" top="0.75" bottom="0.75" header="0.3" footer="0.3"/>
  <pageSetup scale="42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view="pageBreakPreview" topLeftCell="B7" zoomScale="50" zoomScaleNormal="120" zoomScaleSheetLayoutView="50" workbookViewId="0">
      <selection activeCell="C6" sqref="C6"/>
    </sheetView>
  </sheetViews>
  <sheetFormatPr baseColWidth="10" defaultRowHeight="15.75"/>
  <cols>
    <col min="1" max="1" width="27.85546875" style="19" customWidth="1"/>
    <col min="2" max="2" width="46.7109375" style="10" customWidth="1"/>
    <col min="3" max="3" width="66.85546875" style="4" customWidth="1"/>
    <col min="4" max="4" width="35.7109375" style="10" customWidth="1"/>
    <col min="5" max="5" width="52.85546875" style="1" customWidth="1"/>
    <col min="6" max="6" width="36.7109375" style="1" customWidth="1"/>
    <col min="7" max="16384" width="11.42578125" style="1"/>
  </cols>
  <sheetData>
    <row r="1" spans="1:6" s="100" customFormat="1" ht="24">
      <c r="A1" s="86"/>
      <c r="B1" s="87"/>
      <c r="C1" s="85"/>
      <c r="D1" s="87"/>
    </row>
    <row r="2" spans="1:6" s="100" customFormat="1" ht="46.5">
      <c r="A2" s="540" t="s">
        <v>680</v>
      </c>
      <c r="B2" s="540"/>
      <c r="C2" s="540"/>
      <c r="D2" s="540"/>
      <c r="E2" s="540"/>
      <c r="F2" s="540"/>
    </row>
    <row r="3" spans="1:6" s="100" customFormat="1" ht="21.75" customHeight="1">
      <c r="A3" s="83"/>
      <c r="B3" s="84"/>
      <c r="C3" s="85"/>
      <c r="D3" s="87"/>
    </row>
    <row r="4" spans="1:6" s="100" customFormat="1" ht="24">
      <c r="A4" s="86"/>
      <c r="B4" s="87" t="s">
        <v>2</v>
      </c>
      <c r="C4" s="85"/>
      <c r="D4" s="87"/>
    </row>
    <row r="5" spans="1:6" s="100" customFormat="1" ht="73.5">
      <c r="A5" s="190" t="s">
        <v>69</v>
      </c>
      <c r="B5" s="190" t="s">
        <v>657</v>
      </c>
      <c r="C5" s="190" t="s">
        <v>4</v>
      </c>
      <c r="D5" s="190" t="s">
        <v>21</v>
      </c>
      <c r="E5" s="190" t="s">
        <v>5</v>
      </c>
      <c r="F5" s="190" t="s">
        <v>1</v>
      </c>
    </row>
    <row r="6" spans="1:6" s="23" customFormat="1" ht="161.25" customHeight="1">
      <c r="A6" s="343" t="s">
        <v>189</v>
      </c>
      <c r="B6" s="242" t="s">
        <v>677</v>
      </c>
      <c r="C6" s="252" t="s">
        <v>436</v>
      </c>
      <c r="D6" s="245">
        <v>46105</v>
      </c>
      <c r="E6" s="442">
        <v>350000000</v>
      </c>
      <c r="F6" s="202"/>
    </row>
    <row r="7" spans="1:6" s="23" customFormat="1" ht="193.5" customHeight="1">
      <c r="A7" s="343" t="s">
        <v>189</v>
      </c>
      <c r="B7" s="242" t="s">
        <v>678</v>
      </c>
      <c r="C7" s="252" t="s">
        <v>437</v>
      </c>
      <c r="D7" s="245">
        <v>46105</v>
      </c>
      <c r="E7" s="442">
        <v>146000000</v>
      </c>
      <c r="F7" s="202"/>
    </row>
    <row r="8" spans="1:6" s="23" customFormat="1" ht="128.25" customHeight="1">
      <c r="A8" s="343" t="s">
        <v>302</v>
      </c>
      <c r="B8" s="242" t="s">
        <v>679</v>
      </c>
      <c r="C8" s="252" t="s">
        <v>435</v>
      </c>
      <c r="D8" s="243">
        <v>46140</v>
      </c>
      <c r="E8" s="442">
        <v>200000000</v>
      </c>
      <c r="F8" s="202"/>
    </row>
    <row r="9" spans="1:6" s="23" customFormat="1" ht="31.5">
      <c r="A9" s="223"/>
      <c r="B9" s="199"/>
      <c r="C9" s="171"/>
      <c r="D9" s="200"/>
      <c r="E9" s="201"/>
      <c r="F9" s="202"/>
    </row>
    <row r="10" spans="1:6" s="23" customFormat="1" ht="31.5">
      <c r="A10" s="202"/>
      <c r="B10" s="202"/>
      <c r="C10" s="202"/>
      <c r="D10" s="202"/>
      <c r="E10" s="202"/>
      <c r="F10" s="202"/>
    </row>
    <row r="11" spans="1:6" s="23" customFormat="1" ht="31.5">
      <c r="A11" s="223"/>
      <c r="B11" s="225"/>
      <c r="C11" s="171"/>
      <c r="D11" s="203"/>
      <c r="E11" s="226">
        <f>SUM(E6:E10)</f>
        <v>696000000</v>
      </c>
      <c r="F11" s="202"/>
    </row>
    <row r="12" spans="1:6" s="23" customFormat="1" ht="28.5">
      <c r="A12" s="227"/>
      <c r="B12" s="228"/>
      <c r="C12" s="229"/>
      <c r="D12" s="230"/>
      <c r="E12" s="231"/>
      <c r="F12" s="206"/>
    </row>
  </sheetData>
  <mergeCells count="1">
    <mergeCell ref="A2:F2"/>
  </mergeCells>
  <pageMargins left="0.25" right="0.25" top="0.75" bottom="0.75" header="0.3" footer="0.3"/>
  <pageSetup scale="37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view="pageBreakPreview" zoomScale="50" zoomScaleNormal="120" zoomScaleSheetLayoutView="50" workbookViewId="0">
      <selection sqref="A1:XFD1048576"/>
    </sheetView>
  </sheetViews>
  <sheetFormatPr baseColWidth="10" defaultColWidth="29.42578125" defaultRowHeight="21"/>
  <cols>
    <col min="1" max="1" width="18.7109375" style="52" customWidth="1"/>
    <col min="2" max="2" width="72.5703125" style="50" customWidth="1"/>
    <col min="3" max="3" width="79.140625" style="49" customWidth="1"/>
    <col min="4" max="4" width="25.85546875" style="50" customWidth="1"/>
    <col min="5" max="5" width="38.42578125" style="51" customWidth="1"/>
    <col min="6" max="7" width="34.140625" style="50" customWidth="1"/>
    <col min="8" max="8" width="29.42578125" style="51" customWidth="1"/>
    <col min="9" max="16384" width="29.42578125" style="51"/>
  </cols>
  <sheetData>
    <row r="1" spans="1:7" s="100" customFormat="1" ht="46.5">
      <c r="A1" s="540" t="s">
        <v>659</v>
      </c>
      <c r="B1" s="540"/>
      <c r="C1" s="540"/>
      <c r="D1" s="540"/>
      <c r="E1" s="540"/>
      <c r="F1" s="540"/>
      <c r="G1" s="265"/>
    </row>
    <row r="2" spans="1:7" s="100" customFormat="1" ht="24">
      <c r="A2" s="83"/>
      <c r="B2" s="84"/>
      <c r="C2" s="85"/>
      <c r="D2" s="87"/>
      <c r="F2" s="87"/>
      <c r="G2" s="87"/>
    </row>
    <row r="3" spans="1:7" s="100" customFormat="1" ht="24">
      <c r="A3" s="86"/>
      <c r="B3" s="87" t="s">
        <v>2</v>
      </c>
      <c r="C3" s="85"/>
      <c r="D3" s="87"/>
      <c r="F3" s="87"/>
      <c r="G3" s="87"/>
    </row>
    <row r="4" spans="1:7" s="100" customFormat="1" ht="73.5">
      <c r="A4" s="190" t="s">
        <v>69</v>
      </c>
      <c r="B4" s="190" t="s">
        <v>587</v>
      </c>
      <c r="C4" s="190" t="s">
        <v>4</v>
      </c>
      <c r="D4" s="190" t="s">
        <v>21</v>
      </c>
      <c r="E4" s="190" t="s">
        <v>5</v>
      </c>
      <c r="F4" s="190" t="s">
        <v>1</v>
      </c>
      <c r="G4" s="190" t="s">
        <v>7</v>
      </c>
    </row>
    <row r="5" spans="1:7" s="58" customFormat="1" ht="40.5" customHeight="1">
      <c r="A5" s="545" t="s">
        <v>165</v>
      </c>
      <c r="B5" s="199" t="s">
        <v>438</v>
      </c>
      <c r="C5" s="171" t="s">
        <v>439</v>
      </c>
      <c r="D5" s="200"/>
      <c r="E5" s="201">
        <v>1521376</v>
      </c>
      <c r="F5" s="199"/>
      <c r="G5" s="199"/>
    </row>
    <row r="6" spans="1:7" s="58" customFormat="1" ht="34.5" customHeight="1">
      <c r="A6" s="581"/>
      <c r="B6" s="199" t="s">
        <v>440</v>
      </c>
      <c r="C6" s="171" t="s">
        <v>441</v>
      </c>
      <c r="D6" s="203"/>
      <c r="E6" s="204">
        <v>96359</v>
      </c>
      <c r="F6" s="199"/>
      <c r="G6" s="199"/>
    </row>
    <row r="7" spans="1:7" s="58" customFormat="1" ht="34.5" customHeight="1">
      <c r="A7" s="546"/>
      <c r="B7" s="199" t="s">
        <v>443</v>
      </c>
      <c r="C7" s="171" t="s">
        <v>444</v>
      </c>
      <c r="D7" s="203"/>
      <c r="E7" s="204">
        <v>28771</v>
      </c>
      <c r="F7" s="199"/>
      <c r="G7" s="199"/>
    </row>
    <row r="8" spans="1:7" s="58" customFormat="1" ht="57" customHeight="1">
      <c r="A8" s="582"/>
      <c r="B8" s="583"/>
      <c r="C8" s="583"/>
      <c r="D8" s="583"/>
      <c r="E8" s="583"/>
      <c r="F8" s="199"/>
      <c r="G8" s="199"/>
    </row>
    <row r="9" spans="1:7" s="58" customFormat="1" ht="33" customHeight="1">
      <c r="A9" s="545" t="s">
        <v>445</v>
      </c>
      <c r="B9" s="199" t="s">
        <v>446</v>
      </c>
      <c r="C9" s="171" t="s">
        <v>439</v>
      </c>
      <c r="D9" s="590">
        <v>46063</v>
      </c>
      <c r="E9" s="205">
        <v>1521376</v>
      </c>
      <c r="F9" s="199"/>
      <c r="G9" s="199"/>
    </row>
    <row r="10" spans="1:7" s="58" customFormat="1" ht="39.75" customHeight="1">
      <c r="A10" s="581"/>
      <c r="B10" s="199" t="s">
        <v>442</v>
      </c>
      <c r="C10" s="171" t="s">
        <v>441</v>
      </c>
      <c r="D10" s="591"/>
      <c r="E10" s="205">
        <v>96359</v>
      </c>
      <c r="F10" s="199" t="s">
        <v>709</v>
      </c>
      <c r="G10" s="199"/>
    </row>
    <row r="11" spans="1:7" s="58" customFormat="1" ht="36.75" customHeight="1">
      <c r="A11" s="546"/>
      <c r="B11" s="199" t="s">
        <v>447</v>
      </c>
      <c r="C11" s="171" t="s">
        <v>444</v>
      </c>
      <c r="D11" s="592"/>
      <c r="E11" s="205">
        <v>28771</v>
      </c>
      <c r="F11" s="205" t="s">
        <v>709</v>
      </c>
      <c r="G11" s="205"/>
    </row>
    <row r="12" spans="1:7" s="58" customFormat="1" ht="51" customHeight="1">
      <c r="A12" s="582"/>
      <c r="B12" s="583"/>
      <c r="C12" s="583"/>
      <c r="D12" s="583"/>
      <c r="E12" s="583"/>
      <c r="F12" s="207"/>
      <c r="G12" s="271"/>
    </row>
    <row r="13" spans="1:7" s="58" customFormat="1" ht="42.75" customHeight="1">
      <c r="A13" s="545" t="s">
        <v>451</v>
      </c>
      <c r="B13" s="199" t="s">
        <v>448</v>
      </c>
      <c r="C13" s="171" t="s">
        <v>439</v>
      </c>
      <c r="D13" s="590">
        <v>46097</v>
      </c>
      <c r="E13" s="205">
        <v>1521376</v>
      </c>
      <c r="F13" s="587" t="s">
        <v>709</v>
      </c>
      <c r="G13" s="584" t="s">
        <v>743</v>
      </c>
    </row>
    <row r="14" spans="1:7" s="58" customFormat="1" ht="41.25" customHeight="1">
      <c r="A14" s="581"/>
      <c r="B14" s="199" t="s">
        <v>449</v>
      </c>
      <c r="C14" s="171" t="s">
        <v>441</v>
      </c>
      <c r="D14" s="591"/>
      <c r="E14" s="205">
        <v>96359</v>
      </c>
      <c r="F14" s="585"/>
      <c r="G14" s="585"/>
    </row>
    <row r="15" spans="1:7" ht="42" customHeight="1">
      <c r="A15" s="546"/>
      <c r="B15" s="199" t="s">
        <v>450</v>
      </c>
      <c r="C15" s="171" t="s">
        <v>444</v>
      </c>
      <c r="D15" s="592"/>
      <c r="E15" s="205">
        <v>28771</v>
      </c>
      <c r="F15" s="586"/>
      <c r="G15" s="586"/>
    </row>
    <row r="16" spans="1:7" ht="49.5" customHeight="1">
      <c r="A16" s="588"/>
      <c r="B16" s="589"/>
      <c r="C16" s="589"/>
      <c r="D16" s="589"/>
      <c r="E16" s="589"/>
      <c r="F16" s="208"/>
      <c r="G16" s="266"/>
    </row>
    <row r="17" spans="1:7" s="58" customFormat="1" ht="48" customHeight="1">
      <c r="A17" s="545" t="s">
        <v>452</v>
      </c>
      <c r="B17" s="199" t="s">
        <v>453</v>
      </c>
      <c r="C17" s="171" t="s">
        <v>439</v>
      </c>
      <c r="D17" s="590">
        <v>46114</v>
      </c>
      <c r="E17" s="205">
        <v>1521376</v>
      </c>
      <c r="F17" s="587" t="s">
        <v>709</v>
      </c>
      <c r="G17" s="584" t="s">
        <v>742</v>
      </c>
    </row>
    <row r="18" spans="1:7" s="58" customFormat="1" ht="38.25" customHeight="1">
      <c r="A18" s="581"/>
      <c r="B18" s="199" t="s">
        <v>454</v>
      </c>
      <c r="C18" s="171" t="s">
        <v>441</v>
      </c>
      <c r="D18" s="591"/>
      <c r="E18" s="205">
        <v>96359</v>
      </c>
      <c r="F18" s="585"/>
      <c r="G18" s="585"/>
    </row>
    <row r="19" spans="1:7" ht="44.25" customHeight="1">
      <c r="A19" s="546"/>
      <c r="B19" s="199" t="s">
        <v>455</v>
      </c>
      <c r="C19" s="171" t="s">
        <v>444</v>
      </c>
      <c r="D19" s="592"/>
      <c r="E19" s="205">
        <v>28771</v>
      </c>
      <c r="F19" s="586"/>
      <c r="G19" s="586"/>
    </row>
    <row r="20" spans="1:7" ht="51" customHeight="1">
      <c r="A20" s="588"/>
      <c r="B20" s="589"/>
      <c r="C20" s="589"/>
      <c r="D20" s="589"/>
      <c r="E20" s="589"/>
      <c r="F20" s="208"/>
      <c r="G20" s="266"/>
    </row>
    <row r="21" spans="1:7" ht="36.75" customHeight="1">
      <c r="A21" s="545" t="s">
        <v>456</v>
      </c>
      <c r="B21" s="199" t="s">
        <v>459</v>
      </c>
      <c r="C21" s="171" t="s">
        <v>439</v>
      </c>
      <c r="D21" s="590">
        <v>46147</v>
      </c>
      <c r="E21" s="205">
        <v>1521376</v>
      </c>
      <c r="F21" s="205"/>
      <c r="G21" s="205"/>
    </row>
    <row r="22" spans="1:7" ht="38.25" customHeight="1">
      <c r="A22" s="581"/>
      <c r="B22" s="199" t="s">
        <v>458</v>
      </c>
      <c r="C22" s="171" t="s">
        <v>441</v>
      </c>
      <c r="D22" s="591"/>
      <c r="E22" s="205">
        <v>96359</v>
      </c>
      <c r="F22" s="205"/>
      <c r="G22" s="205"/>
    </row>
    <row r="23" spans="1:7" ht="34.5" customHeight="1">
      <c r="A23" s="546"/>
      <c r="B23" s="199" t="s">
        <v>457</v>
      </c>
      <c r="C23" s="171" t="s">
        <v>444</v>
      </c>
      <c r="D23" s="592"/>
      <c r="E23" s="205">
        <v>28771</v>
      </c>
      <c r="F23" s="205"/>
      <c r="G23" s="205"/>
    </row>
    <row r="24" spans="1:7" ht="46.5" customHeight="1">
      <c r="A24" s="604"/>
      <c r="B24" s="605"/>
      <c r="C24" s="605"/>
      <c r="D24" s="605"/>
      <c r="E24" s="605"/>
      <c r="F24" s="209"/>
      <c r="G24" s="267"/>
    </row>
    <row r="25" spans="1:7" ht="43.5" customHeight="1">
      <c r="A25" s="596" t="s">
        <v>460</v>
      </c>
      <c r="B25" s="199" t="s">
        <v>461</v>
      </c>
      <c r="C25" s="171" t="s">
        <v>439</v>
      </c>
      <c r="D25" s="599">
        <v>46214</v>
      </c>
      <c r="E25" s="205">
        <v>1521376</v>
      </c>
      <c r="F25" s="205"/>
      <c r="G25" s="205"/>
    </row>
    <row r="26" spans="1:7" ht="36.75" customHeight="1">
      <c r="A26" s="597"/>
      <c r="B26" s="199" t="s">
        <v>462</v>
      </c>
      <c r="C26" s="171" t="s">
        <v>441</v>
      </c>
      <c r="D26" s="597"/>
      <c r="E26" s="205">
        <v>96359</v>
      </c>
      <c r="F26" s="205"/>
      <c r="G26" s="205"/>
    </row>
    <row r="27" spans="1:7" ht="33.75" customHeight="1">
      <c r="A27" s="597"/>
      <c r="B27" s="199" t="s">
        <v>463</v>
      </c>
      <c r="C27" s="171" t="s">
        <v>444</v>
      </c>
      <c r="D27" s="597"/>
      <c r="E27" s="205">
        <v>28771</v>
      </c>
      <c r="F27" s="205"/>
      <c r="G27" s="205"/>
    </row>
    <row r="28" spans="1:7" ht="27.75" customHeight="1">
      <c r="A28" s="597"/>
      <c r="B28" s="199" t="s">
        <v>466</v>
      </c>
      <c r="C28" s="171" t="s">
        <v>465</v>
      </c>
      <c r="D28" s="597"/>
      <c r="E28" s="178">
        <v>594550</v>
      </c>
      <c r="F28" s="178"/>
      <c r="G28" s="178"/>
    </row>
    <row r="29" spans="1:7" ht="36" customHeight="1">
      <c r="A29" s="598"/>
      <c r="B29" s="199" t="s">
        <v>464</v>
      </c>
      <c r="C29" s="171" t="s">
        <v>444</v>
      </c>
      <c r="D29" s="598"/>
      <c r="E29" s="178">
        <v>38345</v>
      </c>
      <c r="F29" s="178"/>
      <c r="G29" s="178"/>
    </row>
    <row r="30" spans="1:7" ht="54" customHeight="1">
      <c r="A30" s="521"/>
      <c r="B30" s="522"/>
      <c r="C30" s="522"/>
      <c r="D30" s="522"/>
      <c r="E30" s="522"/>
      <c r="F30" s="210"/>
      <c r="G30" s="268"/>
    </row>
    <row r="31" spans="1:7" ht="36" customHeight="1">
      <c r="A31" s="595" t="s">
        <v>460</v>
      </c>
      <c r="B31" s="199" t="s">
        <v>474</v>
      </c>
      <c r="C31" s="211" t="s">
        <v>475</v>
      </c>
      <c r="D31" s="526"/>
      <c r="E31" s="178">
        <v>594550</v>
      </c>
      <c r="F31" s="178"/>
      <c r="G31" s="178"/>
    </row>
    <row r="32" spans="1:7" ht="35.25" customHeight="1">
      <c r="A32" s="595"/>
      <c r="B32" s="199" t="s">
        <v>468</v>
      </c>
      <c r="C32" s="211" t="s">
        <v>467</v>
      </c>
      <c r="D32" s="603"/>
      <c r="E32" s="212">
        <v>951250</v>
      </c>
      <c r="F32" s="178"/>
      <c r="G32" s="178"/>
    </row>
    <row r="33" spans="1:7" ht="34.5" customHeight="1">
      <c r="A33" s="595"/>
      <c r="B33" s="199" t="s">
        <v>468</v>
      </c>
      <c r="C33" s="211" t="s">
        <v>473</v>
      </c>
      <c r="D33" s="603"/>
      <c r="E33" s="212">
        <v>951250</v>
      </c>
      <c r="F33" s="178"/>
      <c r="G33" s="178"/>
    </row>
    <row r="34" spans="1:7" ht="35.25" customHeight="1">
      <c r="A34" s="595"/>
      <c r="B34" s="199" t="s">
        <v>469</v>
      </c>
      <c r="C34" s="176" t="s">
        <v>470</v>
      </c>
      <c r="D34" s="603"/>
      <c r="E34" s="212">
        <v>178400</v>
      </c>
      <c r="F34" s="178"/>
      <c r="G34" s="178"/>
    </row>
    <row r="35" spans="1:7" ht="38.25" customHeight="1">
      <c r="A35" s="595"/>
      <c r="B35" s="199" t="s">
        <v>471</v>
      </c>
      <c r="C35" s="176" t="s">
        <v>472</v>
      </c>
      <c r="D35" s="527"/>
      <c r="E35" s="212">
        <v>178400</v>
      </c>
      <c r="F35" s="178"/>
      <c r="G35" s="178"/>
    </row>
    <row r="36" spans="1:7" ht="43.5" customHeight="1">
      <c r="A36" s="521"/>
      <c r="B36" s="522"/>
      <c r="C36" s="522"/>
      <c r="D36" s="522"/>
      <c r="E36" s="522"/>
      <c r="F36" s="213"/>
      <c r="G36" s="213"/>
    </row>
    <row r="37" spans="1:7" ht="53.25" customHeight="1">
      <c r="A37" s="524" t="s">
        <v>476</v>
      </c>
      <c r="B37" s="199" t="s">
        <v>477</v>
      </c>
      <c r="C37" s="171" t="s">
        <v>478</v>
      </c>
      <c r="D37" s="600">
        <v>46226</v>
      </c>
      <c r="E37" s="214">
        <v>1550047</v>
      </c>
      <c r="F37" s="178"/>
      <c r="G37" s="309"/>
    </row>
    <row r="38" spans="1:7" ht="36" customHeight="1">
      <c r="A38" s="576"/>
      <c r="B38" s="199" t="s">
        <v>479</v>
      </c>
      <c r="C38" s="176" t="s">
        <v>480</v>
      </c>
      <c r="D38" s="601"/>
      <c r="E38" s="214">
        <v>594500</v>
      </c>
      <c r="F38" s="178"/>
      <c r="G38" s="309"/>
    </row>
    <row r="39" spans="1:7" ht="42" customHeight="1">
      <c r="A39" s="525"/>
      <c r="B39" s="199" t="s">
        <v>481</v>
      </c>
      <c r="C39" s="176" t="s">
        <v>441</v>
      </c>
      <c r="D39" s="601"/>
      <c r="E39" s="214">
        <v>96309</v>
      </c>
      <c r="F39" s="178"/>
      <c r="G39" s="309"/>
    </row>
    <row r="40" spans="1:7" ht="43.5" customHeight="1">
      <c r="A40" s="215"/>
      <c r="B40" s="216"/>
      <c r="C40" s="216"/>
      <c r="D40" s="602"/>
      <c r="E40" s="216"/>
      <c r="F40" s="221"/>
      <c r="G40" s="213"/>
    </row>
    <row r="41" spans="1:7" ht="53.25" customHeight="1">
      <c r="A41" s="524" t="s">
        <v>536</v>
      </c>
      <c r="B41" s="199" t="s">
        <v>535</v>
      </c>
      <c r="C41" s="171" t="s">
        <v>478</v>
      </c>
      <c r="D41" s="593">
        <v>46239</v>
      </c>
      <c r="E41" s="214">
        <v>1550047</v>
      </c>
      <c r="F41" s="178"/>
      <c r="G41" s="309"/>
    </row>
    <row r="42" spans="1:7" ht="38.25" customHeight="1">
      <c r="A42" s="576"/>
      <c r="B42" s="199" t="s">
        <v>537</v>
      </c>
      <c r="C42" s="176" t="s">
        <v>441</v>
      </c>
      <c r="D42" s="594"/>
      <c r="E42" s="214">
        <v>96309</v>
      </c>
      <c r="F42" s="178"/>
      <c r="G42" s="309"/>
    </row>
    <row r="43" spans="1:7" ht="38.25" customHeight="1">
      <c r="A43" s="525"/>
      <c r="B43" s="170" t="s">
        <v>538</v>
      </c>
      <c r="C43" s="176" t="s">
        <v>480</v>
      </c>
      <c r="D43" s="594"/>
      <c r="E43" s="214">
        <v>594500</v>
      </c>
      <c r="F43" s="178"/>
      <c r="G43" s="309"/>
    </row>
    <row r="44" spans="1:7" ht="31.5">
      <c r="A44" s="216"/>
      <c r="B44" s="213"/>
      <c r="C44" s="217"/>
      <c r="D44" s="213"/>
      <c r="E44" s="218"/>
      <c r="F44" s="213"/>
      <c r="G44" s="213"/>
    </row>
    <row r="45" spans="1:7" ht="31.5">
      <c r="A45" s="216"/>
      <c r="B45" s="213"/>
      <c r="C45" s="217"/>
      <c r="D45" s="213"/>
      <c r="E45" s="219">
        <v>17847493</v>
      </c>
      <c r="F45" s="280"/>
      <c r="G45" s="280"/>
    </row>
    <row r="46" spans="1:7" ht="31.5">
      <c r="A46" s="220"/>
      <c r="B46" s="187"/>
      <c r="C46" s="186"/>
      <c r="D46" s="187"/>
      <c r="E46" s="185"/>
      <c r="F46" s="213"/>
      <c r="G46" s="213"/>
    </row>
    <row r="47" spans="1:7" s="474" customFormat="1" ht="49.5" customHeight="1">
      <c r="A47" s="471" t="s">
        <v>781</v>
      </c>
      <c r="B47" s="472"/>
      <c r="C47" s="473"/>
      <c r="D47" s="472"/>
      <c r="F47" s="472"/>
      <c r="G47" s="472"/>
    </row>
    <row r="48" spans="1:7" s="474" customFormat="1" ht="34.5">
      <c r="A48" s="471" t="s">
        <v>716</v>
      </c>
      <c r="B48" s="472"/>
      <c r="C48" s="473"/>
      <c r="D48" s="472"/>
      <c r="F48" s="472"/>
      <c r="G48" s="472"/>
    </row>
    <row r="49" spans="1:7" s="474" customFormat="1" ht="34.5">
      <c r="A49" s="471"/>
      <c r="B49" s="472"/>
      <c r="C49" s="473"/>
      <c r="D49" s="472"/>
      <c r="F49" s="472"/>
      <c r="G49" s="472"/>
    </row>
    <row r="50" spans="1:7" s="474" customFormat="1" ht="34.5">
      <c r="A50" s="471" t="s">
        <v>782</v>
      </c>
      <c r="B50" s="472"/>
      <c r="C50" s="473"/>
      <c r="D50" s="472"/>
      <c r="F50" s="472"/>
      <c r="G50" s="472"/>
    </row>
  </sheetData>
  <mergeCells count="29">
    <mergeCell ref="D41:D43"/>
    <mergeCell ref="A41:A43"/>
    <mergeCell ref="A31:A35"/>
    <mergeCell ref="A37:A39"/>
    <mergeCell ref="A21:A23"/>
    <mergeCell ref="D21:D23"/>
    <mergeCell ref="A25:A29"/>
    <mergeCell ref="D25:D29"/>
    <mergeCell ref="D37:D40"/>
    <mergeCell ref="D31:D35"/>
    <mergeCell ref="A24:E24"/>
    <mergeCell ref="A30:E30"/>
    <mergeCell ref="A36:E36"/>
    <mergeCell ref="G13:G15"/>
    <mergeCell ref="F17:F19"/>
    <mergeCell ref="G17:G19"/>
    <mergeCell ref="A1:F1"/>
    <mergeCell ref="A20:E20"/>
    <mergeCell ref="F13:F15"/>
    <mergeCell ref="A17:A19"/>
    <mergeCell ref="D17:D19"/>
    <mergeCell ref="A8:E8"/>
    <mergeCell ref="A12:E12"/>
    <mergeCell ref="A16:E16"/>
    <mergeCell ref="A5:A7"/>
    <mergeCell ref="A9:A11"/>
    <mergeCell ref="D9:D11"/>
    <mergeCell ref="A13:A15"/>
    <mergeCell ref="D13:D15"/>
  </mergeCells>
  <pageMargins left="0.51181102362204722" right="0.51181102362204722" top="0.55118110236220474" bottom="0.55118110236220474" header="0.31496062992125984" footer="0.31496062992125984"/>
  <pageSetup scale="31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6"/>
  <sheetViews>
    <sheetView view="pageBreakPreview" zoomScale="50" zoomScaleNormal="120" zoomScaleSheetLayoutView="50" workbookViewId="0">
      <selection sqref="A1:XFD1048576"/>
    </sheetView>
  </sheetViews>
  <sheetFormatPr baseColWidth="10" defaultRowHeight="15.75"/>
  <cols>
    <col min="1" max="1" width="20.85546875" style="19" customWidth="1"/>
    <col min="2" max="2" width="52.28515625" style="10" customWidth="1"/>
    <col min="3" max="3" width="62.5703125" style="4" customWidth="1"/>
    <col min="4" max="4" width="31" style="10" customWidth="1"/>
    <col min="5" max="5" width="41.140625" style="1" customWidth="1"/>
    <col min="6" max="6" width="24.42578125" style="1" customWidth="1"/>
    <col min="7" max="7" width="37.140625" style="1" customWidth="1"/>
    <col min="8" max="10" width="11.42578125" style="1"/>
    <col min="11" max="11" width="21.28515625" style="1" customWidth="1"/>
    <col min="12" max="16384" width="11.42578125" style="1"/>
  </cols>
  <sheetData>
    <row r="2" spans="1:11" s="98" customFormat="1" ht="46.5">
      <c r="A2" s="540" t="s">
        <v>660</v>
      </c>
      <c r="B2" s="540"/>
      <c r="C2" s="540"/>
      <c r="D2" s="540"/>
      <c r="E2" s="540"/>
      <c r="F2" s="540"/>
      <c r="G2" s="540"/>
      <c r="H2" s="540"/>
    </row>
    <row r="3" spans="1:11" s="98" customFormat="1" ht="21.75">
      <c r="A3" s="115"/>
      <c r="B3" s="145"/>
      <c r="C3" s="45"/>
      <c r="D3" s="152"/>
    </row>
    <row r="4" spans="1:11" s="98" customFormat="1" ht="21.75">
      <c r="A4" s="126"/>
      <c r="B4" s="152" t="s">
        <v>2</v>
      </c>
      <c r="C4" s="45"/>
      <c r="D4" s="152"/>
    </row>
    <row r="5" spans="1:11" s="98" customFormat="1" ht="73.5">
      <c r="A5" s="190" t="s">
        <v>69</v>
      </c>
      <c r="B5" s="190" t="s">
        <v>3</v>
      </c>
      <c r="C5" s="190" t="s">
        <v>4</v>
      </c>
      <c r="D5" s="190" t="s">
        <v>21</v>
      </c>
      <c r="E5" s="190" t="s">
        <v>5</v>
      </c>
      <c r="F5" s="190" t="s">
        <v>1</v>
      </c>
      <c r="G5" s="190" t="s">
        <v>681</v>
      </c>
      <c r="K5" s="514"/>
    </row>
    <row r="6" spans="1:11" ht="146.25" customHeight="1">
      <c r="A6" s="617" t="s">
        <v>165</v>
      </c>
      <c r="B6" s="242" t="s">
        <v>485</v>
      </c>
      <c r="C6" s="180" t="s">
        <v>508</v>
      </c>
      <c r="D6" s="612">
        <v>46022</v>
      </c>
      <c r="E6" s="344">
        <v>6032000</v>
      </c>
      <c r="F6" s="180"/>
      <c r="G6" s="180"/>
      <c r="H6" s="337"/>
      <c r="I6" s="337"/>
      <c r="K6" s="515"/>
    </row>
    <row r="7" spans="1:11" ht="160.5" customHeight="1">
      <c r="A7" s="618"/>
      <c r="B7" s="242" t="s">
        <v>482</v>
      </c>
      <c r="C7" s="180" t="s">
        <v>511</v>
      </c>
      <c r="D7" s="613"/>
      <c r="E7" s="344">
        <v>3393000</v>
      </c>
      <c r="F7" s="180"/>
      <c r="G7" s="180"/>
      <c r="H7" s="337"/>
      <c r="I7" s="337"/>
      <c r="K7" s="515"/>
    </row>
    <row r="8" spans="1:11" ht="30" customHeight="1">
      <c r="A8" s="621"/>
      <c r="B8" s="622"/>
      <c r="C8" s="622"/>
      <c r="D8" s="622"/>
      <c r="E8" s="622"/>
      <c r="F8" s="622"/>
      <c r="G8" s="622"/>
      <c r="H8" s="622"/>
      <c r="I8" s="622"/>
      <c r="K8" s="516"/>
    </row>
    <row r="9" spans="1:11" s="23" customFormat="1" ht="135" customHeight="1">
      <c r="A9" s="606" t="s">
        <v>166</v>
      </c>
      <c r="B9" s="242" t="s">
        <v>486</v>
      </c>
      <c r="C9" s="242" t="s">
        <v>484</v>
      </c>
      <c r="D9" s="619">
        <v>46044</v>
      </c>
      <c r="E9" s="344">
        <v>6032000</v>
      </c>
      <c r="F9" s="610" t="s">
        <v>709</v>
      </c>
      <c r="G9" s="180" t="s">
        <v>825</v>
      </c>
      <c r="H9" s="492"/>
      <c r="I9" s="492"/>
      <c r="K9" s="517"/>
    </row>
    <row r="10" spans="1:11" s="23" customFormat="1" ht="138" customHeight="1">
      <c r="A10" s="607"/>
      <c r="B10" s="242" t="s">
        <v>487</v>
      </c>
      <c r="C10" s="242" t="s">
        <v>483</v>
      </c>
      <c r="D10" s="620"/>
      <c r="E10" s="344">
        <v>3393000</v>
      </c>
      <c r="F10" s="611"/>
      <c r="G10" s="180" t="s">
        <v>825</v>
      </c>
      <c r="H10" s="492"/>
      <c r="I10" s="492"/>
    </row>
    <row r="11" spans="1:11" s="23" customFormat="1" ht="27.75" customHeight="1">
      <c r="A11" s="614"/>
      <c r="B11" s="615"/>
      <c r="C11" s="615"/>
      <c r="D11" s="615"/>
      <c r="E11" s="615"/>
      <c r="F11" s="615"/>
      <c r="G11" s="616"/>
      <c r="H11" s="492"/>
      <c r="I11" s="492"/>
    </row>
    <row r="12" spans="1:11" s="23" customFormat="1" ht="103.5">
      <c r="A12" s="617" t="s">
        <v>167</v>
      </c>
      <c r="B12" s="242" t="s">
        <v>489</v>
      </c>
      <c r="C12" s="242" t="s">
        <v>484</v>
      </c>
      <c r="D12" s="612">
        <v>46038</v>
      </c>
      <c r="E12" s="344">
        <v>6032000</v>
      </c>
      <c r="F12" s="610" t="s">
        <v>709</v>
      </c>
      <c r="G12" s="180" t="s">
        <v>710</v>
      </c>
      <c r="H12" s="492"/>
      <c r="I12" s="492"/>
    </row>
    <row r="13" spans="1:11" s="23" customFormat="1" ht="103.5">
      <c r="A13" s="618"/>
      <c r="B13" s="242" t="s">
        <v>488</v>
      </c>
      <c r="C13" s="242" t="s">
        <v>483</v>
      </c>
      <c r="D13" s="613"/>
      <c r="E13" s="344">
        <v>3393000</v>
      </c>
      <c r="F13" s="611"/>
      <c r="G13" s="180" t="s">
        <v>710</v>
      </c>
      <c r="H13" s="492"/>
      <c r="I13" s="492"/>
    </row>
    <row r="14" spans="1:11" s="23" customFormat="1" ht="27" customHeight="1">
      <c r="A14" s="614"/>
      <c r="B14" s="615"/>
      <c r="C14" s="615"/>
      <c r="D14" s="615"/>
      <c r="E14" s="615"/>
      <c r="F14" s="615"/>
      <c r="G14" s="616"/>
      <c r="H14" s="492"/>
      <c r="I14" s="492"/>
    </row>
    <row r="15" spans="1:11" s="23" customFormat="1" ht="138" customHeight="1">
      <c r="A15" s="606" t="s">
        <v>169</v>
      </c>
      <c r="B15" s="242" t="s">
        <v>491</v>
      </c>
      <c r="C15" s="242" t="s">
        <v>484</v>
      </c>
      <c r="D15" s="612"/>
      <c r="E15" s="344">
        <v>6032000</v>
      </c>
      <c r="F15" s="610" t="s">
        <v>709</v>
      </c>
      <c r="G15" s="242" t="s">
        <v>826</v>
      </c>
      <c r="H15" s="492"/>
      <c r="I15" s="492"/>
    </row>
    <row r="16" spans="1:11" s="23" customFormat="1" ht="129" customHeight="1">
      <c r="A16" s="607"/>
      <c r="B16" s="242" t="s">
        <v>490</v>
      </c>
      <c r="C16" s="242" t="s">
        <v>483</v>
      </c>
      <c r="D16" s="613"/>
      <c r="E16" s="344">
        <v>3393000</v>
      </c>
      <c r="F16" s="611"/>
      <c r="G16" s="242" t="s">
        <v>826</v>
      </c>
      <c r="H16" s="492"/>
      <c r="I16" s="492"/>
    </row>
    <row r="17" spans="1:9" s="23" customFormat="1" ht="26.25" customHeight="1">
      <c r="A17" s="614"/>
      <c r="B17" s="615"/>
      <c r="C17" s="615"/>
      <c r="D17" s="615"/>
      <c r="E17" s="615"/>
      <c r="F17" s="615"/>
      <c r="G17" s="616"/>
      <c r="H17" s="492"/>
      <c r="I17" s="492"/>
    </row>
    <row r="18" spans="1:9" s="23" customFormat="1" ht="127.5" customHeight="1">
      <c r="A18" s="606" t="s">
        <v>171</v>
      </c>
      <c r="B18" s="242" t="s">
        <v>492</v>
      </c>
      <c r="C18" s="242" t="s">
        <v>484</v>
      </c>
      <c r="D18" s="612">
        <v>46134</v>
      </c>
      <c r="E18" s="344">
        <v>6032000</v>
      </c>
      <c r="F18" s="610" t="s">
        <v>709</v>
      </c>
      <c r="G18" s="180" t="s">
        <v>726</v>
      </c>
      <c r="H18" s="492"/>
      <c r="I18" s="492"/>
    </row>
    <row r="19" spans="1:9" s="23" customFormat="1" ht="135" customHeight="1">
      <c r="A19" s="607"/>
      <c r="B19" s="242" t="s">
        <v>493</v>
      </c>
      <c r="C19" s="242" t="s">
        <v>483</v>
      </c>
      <c r="D19" s="613"/>
      <c r="E19" s="344">
        <v>3393000</v>
      </c>
      <c r="F19" s="611"/>
      <c r="G19" s="180" t="s">
        <v>726</v>
      </c>
      <c r="H19" s="492"/>
      <c r="I19" s="492"/>
    </row>
    <row r="20" spans="1:9" s="23" customFormat="1" ht="29.25" customHeight="1">
      <c r="A20" s="614"/>
      <c r="B20" s="615"/>
      <c r="C20" s="615"/>
      <c r="D20" s="615"/>
      <c r="E20" s="615"/>
      <c r="F20" s="615"/>
      <c r="G20" s="616"/>
      <c r="H20" s="492"/>
      <c r="I20" s="492"/>
    </row>
    <row r="21" spans="1:9" s="23" customFormat="1" ht="103.5">
      <c r="A21" s="606" t="s">
        <v>173</v>
      </c>
      <c r="B21" s="242" t="s">
        <v>494</v>
      </c>
      <c r="C21" s="242" t="s">
        <v>484</v>
      </c>
      <c r="D21" s="612">
        <v>46169</v>
      </c>
      <c r="E21" s="344">
        <v>6032000</v>
      </c>
      <c r="F21" s="610" t="s">
        <v>709</v>
      </c>
      <c r="G21" s="180" t="s">
        <v>822</v>
      </c>
      <c r="H21" s="492"/>
      <c r="I21" s="492"/>
    </row>
    <row r="22" spans="1:9" s="23" customFormat="1" ht="103.5">
      <c r="A22" s="607"/>
      <c r="B22" s="242" t="s">
        <v>495</v>
      </c>
      <c r="C22" s="242" t="s">
        <v>483</v>
      </c>
      <c r="D22" s="613"/>
      <c r="E22" s="344">
        <v>3393000</v>
      </c>
      <c r="F22" s="611"/>
      <c r="G22" s="180" t="s">
        <v>822</v>
      </c>
      <c r="H22" s="492"/>
      <c r="I22" s="492"/>
    </row>
    <row r="23" spans="1:9" s="23" customFormat="1" ht="30" customHeight="1">
      <c r="A23" s="614"/>
      <c r="B23" s="615"/>
      <c r="C23" s="615"/>
      <c r="D23" s="615"/>
      <c r="E23" s="615"/>
      <c r="F23" s="615"/>
      <c r="G23" s="616"/>
      <c r="H23" s="492"/>
      <c r="I23" s="492"/>
    </row>
    <row r="24" spans="1:9" s="23" customFormat="1" ht="103.5">
      <c r="A24" s="606" t="s">
        <v>212</v>
      </c>
      <c r="B24" s="242" t="s">
        <v>496</v>
      </c>
      <c r="C24" s="242" t="s">
        <v>484</v>
      </c>
      <c r="D24" s="612">
        <v>46196</v>
      </c>
      <c r="E24" s="344">
        <v>6032000</v>
      </c>
      <c r="F24" s="610" t="s">
        <v>709</v>
      </c>
      <c r="G24" s="180" t="s">
        <v>728</v>
      </c>
      <c r="H24" s="492"/>
      <c r="I24" s="492"/>
    </row>
    <row r="25" spans="1:9" ht="103.5">
      <c r="A25" s="607"/>
      <c r="B25" s="242" t="s">
        <v>497</v>
      </c>
      <c r="C25" s="242" t="s">
        <v>483</v>
      </c>
      <c r="D25" s="613"/>
      <c r="E25" s="344">
        <v>3393000</v>
      </c>
      <c r="F25" s="611"/>
      <c r="G25" s="180" t="s">
        <v>728</v>
      </c>
      <c r="H25" s="337"/>
      <c r="I25" s="337"/>
    </row>
    <row r="26" spans="1:9" ht="25.5" customHeight="1">
      <c r="A26" s="614"/>
      <c r="B26" s="615"/>
      <c r="C26" s="615"/>
      <c r="D26" s="615"/>
      <c r="E26" s="615"/>
      <c r="F26" s="615"/>
      <c r="G26" s="616"/>
      <c r="H26" s="337"/>
      <c r="I26" s="337"/>
    </row>
    <row r="27" spans="1:9" ht="103.5">
      <c r="A27" s="606" t="s">
        <v>507</v>
      </c>
      <c r="B27" s="242" t="s">
        <v>509</v>
      </c>
      <c r="C27" s="242" t="s">
        <v>484</v>
      </c>
      <c r="D27" s="608">
        <v>46232</v>
      </c>
      <c r="E27" s="344">
        <v>6032000</v>
      </c>
      <c r="F27" s="610" t="s">
        <v>709</v>
      </c>
      <c r="G27" s="180" t="s">
        <v>827</v>
      </c>
      <c r="H27" s="337"/>
      <c r="I27" s="337"/>
    </row>
    <row r="28" spans="1:9" ht="121.5" customHeight="1">
      <c r="A28" s="607"/>
      <c r="B28" s="242" t="s">
        <v>510</v>
      </c>
      <c r="C28" s="242" t="s">
        <v>483</v>
      </c>
      <c r="D28" s="609"/>
      <c r="E28" s="344">
        <v>3393000</v>
      </c>
      <c r="F28" s="611"/>
      <c r="G28" s="180" t="s">
        <v>827</v>
      </c>
      <c r="H28" s="337"/>
      <c r="I28" s="337"/>
    </row>
    <row r="29" spans="1:9" ht="34.5">
      <c r="A29" s="513"/>
      <c r="B29" s="169"/>
      <c r="C29" s="180"/>
      <c r="D29" s="182"/>
      <c r="E29" s="183"/>
      <c r="F29" s="181"/>
      <c r="G29" s="181"/>
      <c r="H29" s="337"/>
      <c r="I29" s="337"/>
    </row>
    <row r="30" spans="1:9" ht="34.5">
      <c r="A30" s="513"/>
      <c r="B30" s="169"/>
      <c r="C30" s="180"/>
      <c r="D30" s="182"/>
      <c r="E30" s="376">
        <v>65975000</v>
      </c>
      <c r="F30" s="181"/>
      <c r="G30" s="181"/>
      <c r="H30" s="337"/>
      <c r="I30" s="337"/>
    </row>
    <row r="31" spans="1:9" ht="34.5">
      <c r="A31" s="513"/>
      <c r="B31" s="169"/>
      <c r="C31" s="180"/>
      <c r="D31" s="182"/>
      <c r="E31" s="183"/>
      <c r="F31" s="181"/>
      <c r="G31" s="181"/>
      <c r="H31" s="337"/>
      <c r="I31" s="337"/>
    </row>
    <row r="32" spans="1:9" s="329" customFormat="1" ht="34.5">
      <c r="A32" s="335"/>
      <c r="B32" s="334"/>
      <c r="C32" s="336"/>
      <c r="D32" s="334"/>
      <c r="E32" s="337"/>
      <c r="F32" s="337"/>
      <c r="G32" s="337"/>
      <c r="H32" s="337"/>
      <c r="I32" s="337"/>
    </row>
    <row r="33" spans="1:9" s="337" customFormat="1" ht="49.5" customHeight="1">
      <c r="A33" s="335" t="s">
        <v>762</v>
      </c>
      <c r="B33" s="334"/>
      <c r="C33" s="336"/>
      <c r="D33" s="334"/>
      <c r="F33" s="334"/>
      <c r="G33" s="334"/>
    </row>
    <row r="34" spans="1:9" s="337" customFormat="1" ht="34.5">
      <c r="A34" s="335" t="s">
        <v>763</v>
      </c>
      <c r="B34" s="334"/>
      <c r="C34" s="336"/>
      <c r="D34" s="334"/>
      <c r="F34" s="334"/>
      <c r="G34" s="334"/>
    </row>
    <row r="35" spans="1:9" s="337" customFormat="1" ht="34.5">
      <c r="A35" s="335"/>
      <c r="B35" s="334"/>
      <c r="C35" s="336"/>
      <c r="D35" s="334"/>
      <c r="F35" s="334"/>
      <c r="G35" s="334"/>
    </row>
    <row r="36" spans="1:9" s="337" customFormat="1" ht="73.5">
      <c r="A36" s="190" t="s">
        <v>69</v>
      </c>
      <c r="B36" s="190" t="s">
        <v>3</v>
      </c>
      <c r="C36" s="190" t="s">
        <v>4</v>
      </c>
      <c r="D36" s="190" t="s">
        <v>21</v>
      </c>
      <c r="E36" s="190" t="s">
        <v>5</v>
      </c>
      <c r="F36" s="190" t="s">
        <v>1</v>
      </c>
      <c r="G36" s="190" t="s">
        <v>681</v>
      </c>
    </row>
    <row r="37" spans="1:9" s="329" customFormat="1" ht="145.5" customHeight="1">
      <c r="A37" s="606" t="s">
        <v>798</v>
      </c>
      <c r="B37" s="242" t="s">
        <v>796</v>
      </c>
      <c r="C37" s="242" t="s">
        <v>484</v>
      </c>
      <c r="D37" s="608">
        <v>46258</v>
      </c>
      <c r="E37" s="344">
        <v>6032000</v>
      </c>
      <c r="F37" s="180"/>
      <c r="G37" s="180"/>
      <c r="H37" s="337"/>
      <c r="I37" s="337"/>
    </row>
    <row r="38" spans="1:9" s="329" customFormat="1" ht="103.5">
      <c r="A38" s="607"/>
      <c r="B38" s="242" t="s">
        <v>797</v>
      </c>
      <c r="C38" s="242" t="s">
        <v>483</v>
      </c>
      <c r="D38" s="609"/>
      <c r="E38" s="344">
        <v>3393000</v>
      </c>
      <c r="F38" s="180"/>
      <c r="G38" s="180"/>
      <c r="H38" s="337"/>
      <c r="I38" s="337"/>
    </row>
    <row r="39" spans="1:9" s="329" customFormat="1" ht="34.5">
      <c r="A39" s="335"/>
      <c r="B39" s="334"/>
      <c r="C39" s="336"/>
      <c r="D39" s="334"/>
      <c r="E39" s="337"/>
      <c r="F39" s="337"/>
      <c r="G39" s="337"/>
      <c r="H39" s="337"/>
      <c r="I39" s="337"/>
    </row>
    <row r="40" spans="1:9" s="329" customFormat="1" ht="31.5">
      <c r="A40" s="220"/>
      <c r="B40" s="187"/>
      <c r="C40" s="186"/>
      <c r="D40" s="187"/>
      <c r="E40" s="185"/>
      <c r="F40" s="185"/>
      <c r="G40" s="185"/>
      <c r="H40" s="185"/>
      <c r="I40" s="185"/>
    </row>
    <row r="41" spans="1:9" s="329" customFormat="1" ht="31.5">
      <c r="A41" s="220"/>
      <c r="B41" s="187"/>
      <c r="C41" s="186"/>
      <c r="D41" s="187"/>
      <c r="E41" s="185"/>
      <c r="F41" s="185"/>
      <c r="G41" s="185"/>
      <c r="H41" s="185"/>
      <c r="I41" s="185"/>
    </row>
    <row r="42" spans="1:9" s="329" customFormat="1" ht="31.5">
      <c r="A42" s="220"/>
      <c r="B42" s="187"/>
      <c r="C42" s="186"/>
      <c r="D42" s="187"/>
      <c r="E42" s="185"/>
      <c r="F42" s="185"/>
      <c r="G42" s="185"/>
      <c r="H42" s="185"/>
      <c r="I42" s="185"/>
    </row>
    <row r="43" spans="1:9" s="329" customFormat="1" ht="31.5">
      <c r="A43" s="220"/>
      <c r="B43" s="187"/>
      <c r="C43" s="186"/>
      <c r="D43" s="187"/>
      <c r="E43" s="185"/>
      <c r="F43" s="185"/>
      <c r="G43" s="185"/>
      <c r="H43" s="185"/>
      <c r="I43" s="185"/>
    </row>
    <row r="44" spans="1:9" s="329" customFormat="1" ht="31.5">
      <c r="A44" s="220"/>
      <c r="B44" s="187"/>
      <c r="C44" s="186"/>
      <c r="D44" s="187"/>
      <c r="E44" s="185"/>
      <c r="F44" s="185"/>
      <c r="G44" s="185"/>
      <c r="H44" s="185"/>
      <c r="I44" s="185"/>
    </row>
    <row r="45" spans="1:9" s="329" customFormat="1" ht="28.5">
      <c r="A45" s="354"/>
      <c r="B45" s="355"/>
      <c r="C45" s="356"/>
      <c r="D45" s="355"/>
    </row>
    <row r="46" spans="1:9" s="329" customFormat="1" ht="28.5">
      <c r="A46" s="354"/>
      <c r="B46" s="355"/>
      <c r="C46" s="356"/>
      <c r="D46" s="355"/>
    </row>
  </sheetData>
  <mergeCells count="33">
    <mergeCell ref="D12:D13"/>
    <mergeCell ref="A18:A19"/>
    <mergeCell ref="A11:G11"/>
    <mergeCell ref="A2:H2"/>
    <mergeCell ref="A24:A25"/>
    <mergeCell ref="A14:G14"/>
    <mergeCell ref="A12:A13"/>
    <mergeCell ref="F12:F13"/>
    <mergeCell ref="F9:F10"/>
    <mergeCell ref="D9:D10"/>
    <mergeCell ref="A9:A10"/>
    <mergeCell ref="A8:I8"/>
    <mergeCell ref="D6:D7"/>
    <mergeCell ref="A6:A7"/>
    <mergeCell ref="D15:D16"/>
    <mergeCell ref="D18:D19"/>
    <mergeCell ref="D21:D22"/>
    <mergeCell ref="D24:D25"/>
    <mergeCell ref="A17:G17"/>
    <mergeCell ref="A20:G20"/>
    <mergeCell ref="A23:G23"/>
    <mergeCell ref="A21:A22"/>
    <mergeCell ref="A15:A16"/>
    <mergeCell ref="F15:F16"/>
    <mergeCell ref="F18:F19"/>
    <mergeCell ref="A37:A38"/>
    <mergeCell ref="D37:D38"/>
    <mergeCell ref="F24:F25"/>
    <mergeCell ref="F21:F22"/>
    <mergeCell ref="F27:F28"/>
    <mergeCell ref="A27:A28"/>
    <mergeCell ref="A26:G26"/>
    <mergeCell ref="D27:D28"/>
  </mergeCells>
  <pageMargins left="0.25" right="0.25" top="0.75" bottom="0.75" header="0.3" footer="0.3"/>
  <pageSetup scale="36" orientation="portrait" r:id="rId1"/>
  <rowBreaks count="1" manualBreakCount="1">
    <brk id="20" max="6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view="pageBreakPreview" zoomScale="90" zoomScaleNormal="120" zoomScaleSheetLayoutView="90" workbookViewId="0">
      <selection activeCell="J5" sqref="J5"/>
    </sheetView>
  </sheetViews>
  <sheetFormatPr baseColWidth="10" defaultRowHeight="15.75"/>
  <cols>
    <col min="1" max="1" width="9.7109375" style="10" customWidth="1"/>
    <col min="2" max="2" width="19.42578125" style="19" customWidth="1"/>
    <col min="3" max="3" width="27.7109375" style="10" customWidth="1"/>
    <col min="4" max="4" width="35" style="4" customWidth="1"/>
    <col min="5" max="5" width="19.7109375" style="10" customWidth="1"/>
    <col min="6" max="6" width="22.42578125" style="1" customWidth="1"/>
    <col min="7" max="7" width="19" style="1" customWidth="1"/>
    <col min="8" max="8" width="18.5703125" style="1" customWidth="1"/>
    <col min="9" max="16384" width="11.42578125" style="1"/>
  </cols>
  <sheetData>
    <row r="2" spans="1:8" s="117" customFormat="1" ht="28.5">
      <c r="A2" s="90" t="s">
        <v>671</v>
      </c>
      <c r="B2" s="123"/>
      <c r="C2" s="127"/>
      <c r="D2" s="124"/>
      <c r="E2" s="125"/>
    </row>
    <row r="3" spans="1:8" s="117" customFormat="1" ht="18.75">
      <c r="A3" s="125"/>
      <c r="B3" s="114"/>
      <c r="C3" s="127"/>
      <c r="D3" s="124"/>
      <c r="E3" s="125"/>
    </row>
    <row r="4" spans="1:8" s="117" customFormat="1" ht="18.75">
      <c r="A4" s="125"/>
      <c r="B4" s="123"/>
      <c r="C4" s="125" t="s">
        <v>2</v>
      </c>
      <c r="D4" s="124"/>
      <c r="E4" s="125"/>
    </row>
    <row r="5" spans="1:8" s="117" customFormat="1" ht="43.5">
      <c r="A5" s="120" t="s">
        <v>0</v>
      </c>
      <c r="B5" s="120" t="s">
        <v>69</v>
      </c>
      <c r="C5" s="120" t="s">
        <v>3</v>
      </c>
      <c r="D5" s="120" t="s">
        <v>4</v>
      </c>
      <c r="E5" s="120" t="s">
        <v>21</v>
      </c>
      <c r="F5" s="120" t="s">
        <v>5</v>
      </c>
      <c r="G5" s="120" t="s">
        <v>1</v>
      </c>
      <c r="H5" s="120" t="s">
        <v>7</v>
      </c>
    </row>
    <row r="6" spans="1:8" ht="43.5" customHeight="1">
      <c r="A6" s="54">
        <v>1</v>
      </c>
      <c r="B6" s="149" t="s">
        <v>310</v>
      </c>
      <c r="C6" s="60" t="s">
        <v>521</v>
      </c>
      <c r="D6" s="54" t="s">
        <v>522</v>
      </c>
      <c r="E6" s="59">
        <v>46180</v>
      </c>
      <c r="F6" s="61">
        <v>395000</v>
      </c>
      <c r="G6" s="54"/>
      <c r="H6" s="54"/>
    </row>
    <row r="7" spans="1:8" s="23" customFormat="1" ht="50.25" customHeight="1">
      <c r="A7" s="60">
        <v>2</v>
      </c>
      <c r="B7" s="149" t="s">
        <v>310</v>
      </c>
      <c r="C7" s="60" t="s">
        <v>515</v>
      </c>
      <c r="D7" s="54" t="s">
        <v>516</v>
      </c>
      <c r="E7" s="59">
        <v>46180</v>
      </c>
      <c r="F7" s="61">
        <v>174000</v>
      </c>
      <c r="G7" s="121"/>
      <c r="H7" s="121"/>
    </row>
    <row r="8" spans="1:8" s="23" customFormat="1" ht="21">
      <c r="A8" s="60"/>
      <c r="B8" s="149"/>
      <c r="C8" s="60"/>
      <c r="D8" s="54"/>
      <c r="E8" s="59"/>
      <c r="F8" s="61"/>
      <c r="G8" s="121"/>
      <c r="H8" s="121"/>
    </row>
    <row r="9" spans="1:8" s="23" customFormat="1" ht="21">
      <c r="A9" s="57"/>
      <c r="B9" s="149"/>
      <c r="C9" s="60"/>
      <c r="D9" s="54"/>
      <c r="E9" s="56"/>
      <c r="F9" s="61"/>
      <c r="G9" s="121"/>
      <c r="H9" s="121"/>
    </row>
    <row r="10" spans="1:8" s="23" customFormat="1" ht="22.5">
      <c r="A10" s="121"/>
      <c r="B10" s="121"/>
      <c r="C10" s="121"/>
      <c r="D10" s="121"/>
      <c r="E10" s="121"/>
      <c r="F10" s="163">
        <f>SUM(F6:F9)</f>
        <v>569000</v>
      </c>
      <c r="G10" s="121"/>
      <c r="H10" s="121"/>
    </row>
    <row r="11" spans="1:8" s="23" customFormat="1" ht="21">
      <c r="A11" s="57"/>
      <c r="B11" s="149"/>
      <c r="C11" s="53"/>
      <c r="D11" s="54"/>
      <c r="E11" s="59"/>
      <c r="F11" s="55"/>
      <c r="G11" s="121"/>
      <c r="H11" s="121"/>
    </row>
  </sheetData>
  <pageMargins left="0.51181102362204722" right="0.51181102362204722" top="0.55118110236220474" bottom="0.55118110236220474" header="0.31496062992125984" footer="0.31496062992125984"/>
  <pageSetup scale="55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view="pageBreakPreview" zoomScaleNormal="120" zoomScaleSheetLayoutView="100" workbookViewId="0">
      <selection activeCell="C12" sqref="C12"/>
    </sheetView>
  </sheetViews>
  <sheetFormatPr baseColWidth="10" defaultRowHeight="15.75"/>
  <cols>
    <col min="1" max="1" width="18.28515625" style="19" customWidth="1"/>
    <col min="2" max="2" width="32.140625" style="10" customWidth="1"/>
    <col min="3" max="3" width="33.42578125" style="4" customWidth="1"/>
    <col min="4" max="4" width="18.28515625" style="10" customWidth="1"/>
    <col min="5" max="5" width="19.7109375" style="1" customWidth="1"/>
    <col min="6" max="6" width="17.5703125" style="1" customWidth="1"/>
    <col min="7" max="7" width="22.85546875" style="1" customWidth="1"/>
    <col min="8" max="16384" width="11.42578125" style="1"/>
  </cols>
  <sheetData>
    <row r="2" spans="1:7" s="98" customFormat="1" ht="24">
      <c r="A2" s="83" t="s">
        <v>670</v>
      </c>
      <c r="B2" s="145"/>
      <c r="C2" s="45"/>
      <c r="D2" s="152"/>
    </row>
    <row r="3" spans="1:7" s="98" customFormat="1" ht="21.75">
      <c r="A3" s="115"/>
      <c r="B3" s="145"/>
      <c r="C3" s="45"/>
      <c r="D3" s="152"/>
    </row>
    <row r="4" spans="1:7" s="98" customFormat="1" ht="21.75">
      <c r="A4" s="126"/>
      <c r="B4" s="152" t="s">
        <v>2</v>
      </c>
      <c r="C4" s="45"/>
      <c r="D4" s="152"/>
    </row>
    <row r="5" spans="1:7" s="98" customFormat="1" ht="48">
      <c r="A5" s="138" t="s">
        <v>69</v>
      </c>
      <c r="B5" s="138" t="s">
        <v>587</v>
      </c>
      <c r="C5" s="138" t="s">
        <v>4</v>
      </c>
      <c r="D5" s="138" t="s">
        <v>21</v>
      </c>
      <c r="E5" s="138" t="s">
        <v>5</v>
      </c>
      <c r="F5" s="138" t="s">
        <v>1</v>
      </c>
      <c r="G5" s="138" t="s">
        <v>7</v>
      </c>
    </row>
    <row r="6" spans="1:7" s="23" customFormat="1" ht="45">
      <c r="A6" s="72" t="s">
        <v>524</v>
      </c>
      <c r="B6" s="89" t="s">
        <v>523</v>
      </c>
      <c r="C6" s="74" t="s">
        <v>525</v>
      </c>
      <c r="D6" s="88">
        <v>46180</v>
      </c>
      <c r="E6" s="159">
        <v>27500</v>
      </c>
      <c r="F6" s="139"/>
      <c r="G6" s="139"/>
    </row>
    <row r="7" spans="1:7" s="23" customFormat="1" ht="22.5">
      <c r="A7" s="72"/>
      <c r="B7" s="89"/>
      <c r="C7" s="74"/>
      <c r="D7" s="88"/>
      <c r="E7" s="159"/>
      <c r="F7" s="139"/>
      <c r="G7" s="139"/>
    </row>
    <row r="8" spans="1:7" s="23" customFormat="1" ht="21">
      <c r="A8" s="149"/>
      <c r="B8" s="60"/>
      <c r="C8" s="54"/>
      <c r="D8" s="56"/>
      <c r="E8" s="61"/>
      <c r="F8" s="121"/>
      <c r="G8" s="121"/>
    </row>
    <row r="9" spans="1:7" s="23" customFormat="1" ht="21">
      <c r="A9" s="121"/>
      <c r="B9" s="121"/>
      <c r="C9" s="121"/>
      <c r="D9" s="121"/>
      <c r="E9" s="164">
        <f>SUM(E6:E8)</f>
        <v>27500</v>
      </c>
      <c r="F9" s="121"/>
      <c r="G9" s="121"/>
    </row>
    <row r="10" spans="1:7" s="23" customFormat="1" ht="21">
      <c r="A10" s="149"/>
      <c r="B10" s="53"/>
      <c r="C10" s="54"/>
      <c r="D10" s="59"/>
      <c r="E10" s="55"/>
      <c r="F10" s="121"/>
      <c r="G10" s="121"/>
    </row>
  </sheetData>
  <pageMargins left="0.51181102362204722" right="0.51181102362204722" top="0.55118110236220474" bottom="0.55118110236220474" header="0.31496062992125984" footer="0.31496062992125984"/>
  <pageSetup scale="58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view="pageBreakPreview" zoomScale="70" zoomScaleNormal="120" zoomScaleSheetLayoutView="70" workbookViewId="0">
      <selection activeCell="C6" sqref="C6"/>
    </sheetView>
  </sheetViews>
  <sheetFormatPr baseColWidth="10" defaultRowHeight="21"/>
  <cols>
    <col min="1" max="1" width="20.140625" style="52" customWidth="1"/>
    <col min="2" max="2" width="45" style="50" customWidth="1"/>
    <col min="3" max="3" width="40.7109375" style="49" customWidth="1"/>
    <col min="4" max="4" width="20.7109375" style="50" customWidth="1"/>
    <col min="5" max="5" width="23.85546875" style="51" customWidth="1"/>
    <col min="6" max="6" width="20.28515625" style="51" customWidth="1"/>
    <col min="7" max="7" width="22.7109375" style="51" customWidth="1"/>
    <col min="8" max="16384" width="11.42578125" style="51"/>
  </cols>
  <sheetData>
    <row r="2" spans="1:7" s="98" customFormat="1" ht="28.5">
      <c r="A2" s="90" t="s">
        <v>669</v>
      </c>
      <c r="B2" s="145"/>
      <c r="C2" s="45"/>
      <c r="D2" s="152"/>
    </row>
    <row r="3" spans="1:7" s="98" customFormat="1" ht="21.75">
      <c r="A3" s="115"/>
      <c r="B3" s="145"/>
      <c r="C3" s="45"/>
      <c r="D3" s="152"/>
    </row>
    <row r="4" spans="1:7" s="98" customFormat="1" ht="21.75">
      <c r="A4" s="126"/>
      <c r="B4" s="152" t="s">
        <v>2</v>
      </c>
      <c r="C4" s="45"/>
      <c r="D4" s="152"/>
    </row>
    <row r="5" spans="1:7" s="100" customFormat="1" ht="48">
      <c r="A5" s="138" t="s">
        <v>69</v>
      </c>
      <c r="B5" s="138" t="s">
        <v>587</v>
      </c>
      <c r="C5" s="138" t="s">
        <v>4</v>
      </c>
      <c r="D5" s="138" t="s">
        <v>21</v>
      </c>
      <c r="E5" s="138" t="s">
        <v>5</v>
      </c>
      <c r="F5" s="138" t="s">
        <v>1</v>
      </c>
      <c r="G5" s="138" t="s">
        <v>7</v>
      </c>
    </row>
    <row r="6" spans="1:7" s="58" customFormat="1" ht="67.5">
      <c r="A6" s="72" t="s">
        <v>526</v>
      </c>
      <c r="B6" s="89" t="s">
        <v>527</v>
      </c>
      <c r="C6" s="74" t="s">
        <v>528</v>
      </c>
      <c r="D6" s="88">
        <v>46180</v>
      </c>
      <c r="E6" s="159">
        <v>150000</v>
      </c>
      <c r="F6" s="139"/>
      <c r="G6" s="139"/>
    </row>
    <row r="7" spans="1:7" s="58" customFormat="1" ht="22.5">
      <c r="A7" s="72"/>
      <c r="B7" s="89"/>
      <c r="C7" s="74"/>
      <c r="D7" s="88"/>
      <c r="E7" s="159"/>
      <c r="F7" s="139"/>
      <c r="G7" s="139"/>
    </row>
    <row r="8" spans="1:7" s="58" customFormat="1" ht="22.5">
      <c r="A8" s="72"/>
      <c r="B8" s="89"/>
      <c r="C8" s="74"/>
      <c r="D8" s="76"/>
      <c r="E8" s="159"/>
      <c r="F8" s="139"/>
      <c r="G8" s="139"/>
    </row>
    <row r="9" spans="1:7" s="58" customFormat="1" ht="22.5">
      <c r="A9" s="139"/>
      <c r="B9" s="139"/>
      <c r="C9" s="139"/>
      <c r="D9" s="139"/>
      <c r="E9" s="163">
        <f>SUM(E6:E8)</f>
        <v>150000</v>
      </c>
      <c r="F9" s="139"/>
      <c r="G9" s="139"/>
    </row>
    <row r="10" spans="1:7" s="58" customFormat="1" ht="22.5">
      <c r="A10" s="72"/>
      <c r="B10" s="73"/>
      <c r="C10" s="74"/>
      <c r="D10" s="88"/>
      <c r="E10" s="75"/>
      <c r="F10" s="139"/>
      <c r="G10" s="139"/>
    </row>
  </sheetData>
  <pageMargins left="0.51181102362204722" right="0.51181102362204722" top="0.55118110236220474" bottom="0.55118110236220474" header="0.31496062992125984" footer="0.31496062992125984"/>
  <pageSetup scale="4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view="pageBreakPreview" zoomScale="60" zoomScaleNormal="120" workbookViewId="0">
      <selection activeCell="F12" sqref="F12"/>
    </sheetView>
  </sheetViews>
  <sheetFormatPr baseColWidth="10" defaultRowHeight="18.75"/>
  <cols>
    <col min="1" max="1" width="8.5703125" style="42" customWidth="1"/>
    <col min="2" max="2" width="27.5703125" style="43" customWidth="1"/>
    <col min="3" max="3" width="30.85546875" style="43" customWidth="1"/>
    <col min="4" max="4" width="29.28515625" style="42" customWidth="1"/>
    <col min="5" max="5" width="24" style="42" customWidth="1"/>
    <col min="6" max="6" width="34.42578125" style="38" customWidth="1"/>
    <col min="7" max="7" width="22.140625" style="38" customWidth="1"/>
    <col min="8" max="8" width="30" style="38" customWidth="1"/>
    <col min="9" max="16384" width="11.42578125" style="38"/>
  </cols>
  <sheetData>
    <row r="2" spans="1:8" s="98" customFormat="1" ht="46.5">
      <c r="A2" s="540" t="s">
        <v>668</v>
      </c>
      <c r="B2" s="540"/>
      <c r="C2" s="540"/>
      <c r="D2" s="540"/>
      <c r="E2" s="540"/>
      <c r="F2" s="540"/>
      <c r="G2" s="540"/>
      <c r="H2" s="540"/>
    </row>
    <row r="3" spans="1:8" s="98" customFormat="1" ht="21.75">
      <c r="A3" s="152"/>
      <c r="B3" s="115"/>
      <c r="C3" s="115"/>
      <c r="D3" s="145"/>
      <c r="E3" s="152"/>
    </row>
    <row r="4" spans="1:8" s="98" customFormat="1" ht="21.75">
      <c r="A4" s="152"/>
      <c r="B4" s="126"/>
      <c r="C4" s="126"/>
      <c r="D4" s="152" t="s">
        <v>2</v>
      </c>
      <c r="E4" s="152"/>
    </row>
    <row r="5" spans="1:8" s="276" customFormat="1" ht="67.5">
      <c r="A5" s="189" t="s">
        <v>0</v>
      </c>
      <c r="B5" s="189" t="s">
        <v>69</v>
      </c>
      <c r="C5" s="189" t="s">
        <v>4</v>
      </c>
      <c r="D5" s="189" t="s">
        <v>3</v>
      </c>
      <c r="E5" s="189" t="s">
        <v>21</v>
      </c>
      <c r="F5" s="189" t="s">
        <v>5</v>
      </c>
      <c r="G5" s="189" t="s">
        <v>1</v>
      </c>
      <c r="H5" s="189" t="s">
        <v>7</v>
      </c>
    </row>
    <row r="6" spans="1:8" ht="119.25" customHeight="1">
      <c r="A6" s="171">
        <v>1</v>
      </c>
      <c r="B6" s="235">
        <v>46233</v>
      </c>
      <c r="C6" s="171" t="s">
        <v>177</v>
      </c>
      <c r="D6" s="199" t="s">
        <v>548</v>
      </c>
      <c r="E6" s="171"/>
      <c r="F6" s="322">
        <v>4171012</v>
      </c>
      <c r="G6" s="229"/>
      <c r="H6" s="229"/>
    </row>
    <row r="7" spans="1:8" ht="150.75" customHeight="1">
      <c r="A7" s="171">
        <v>2</v>
      </c>
      <c r="B7" s="235">
        <v>46244</v>
      </c>
      <c r="C7" s="171" t="s">
        <v>547</v>
      </c>
      <c r="D7" s="199" t="s">
        <v>548</v>
      </c>
      <c r="E7" s="235">
        <v>46244</v>
      </c>
      <c r="F7" s="322">
        <v>624255</v>
      </c>
      <c r="G7" s="229"/>
      <c r="H7" s="229"/>
    </row>
    <row r="8" spans="1:8" ht="120.75" customHeight="1">
      <c r="A8" s="171">
        <v>3</v>
      </c>
      <c r="B8" s="548">
        <v>46233</v>
      </c>
      <c r="C8" s="171" t="s">
        <v>556</v>
      </c>
      <c r="D8" s="199" t="s">
        <v>555</v>
      </c>
      <c r="E8" s="235">
        <v>46245</v>
      </c>
      <c r="F8" s="322">
        <v>891750</v>
      </c>
      <c r="G8" s="229"/>
      <c r="H8" s="229"/>
    </row>
    <row r="9" spans="1:8" ht="118.5" customHeight="1">
      <c r="A9" s="171">
        <v>4</v>
      </c>
      <c r="B9" s="549"/>
      <c r="C9" s="171" t="s">
        <v>557</v>
      </c>
      <c r="D9" s="199" t="s">
        <v>554</v>
      </c>
      <c r="E9" s="235">
        <v>46245</v>
      </c>
      <c r="F9" s="322">
        <v>4171012</v>
      </c>
      <c r="G9" s="229"/>
      <c r="H9" s="229"/>
    </row>
    <row r="10" spans="1:8" ht="31.5">
      <c r="A10" s="171"/>
      <c r="B10" s="235"/>
      <c r="C10" s="235"/>
      <c r="D10" s="225"/>
      <c r="E10" s="235"/>
      <c r="F10" s="226"/>
      <c r="G10" s="229"/>
      <c r="H10" s="229"/>
    </row>
    <row r="11" spans="1:8" s="44" customFormat="1" ht="31.5">
      <c r="A11" s="317"/>
      <c r="B11" s="223"/>
      <c r="C11" s="223"/>
      <c r="D11" s="225"/>
      <c r="E11" s="200"/>
      <c r="F11" s="226"/>
      <c r="G11" s="206"/>
      <c r="H11" s="434"/>
    </row>
    <row r="12" spans="1:8" s="44" customFormat="1" ht="31.5">
      <c r="A12" s="433"/>
      <c r="B12" s="227"/>
      <c r="C12" s="227"/>
      <c r="D12" s="228"/>
      <c r="E12" s="255"/>
      <c r="F12" s="226">
        <f>SUM(F6:F11)</f>
        <v>9858029</v>
      </c>
      <c r="G12" s="206"/>
      <c r="H12" s="434"/>
    </row>
    <row r="13" spans="1:8" ht="28.5">
      <c r="A13" s="355"/>
      <c r="B13" s="354"/>
      <c r="C13" s="354"/>
      <c r="D13" s="355"/>
      <c r="E13" s="355"/>
      <c r="F13" s="329"/>
      <c r="G13" s="329"/>
      <c r="H13" s="329"/>
    </row>
    <row r="14" spans="1:8" ht="28.5">
      <c r="A14" s="355"/>
      <c r="B14" s="354"/>
      <c r="C14" s="354"/>
      <c r="D14" s="355"/>
      <c r="E14" s="355"/>
      <c r="F14" s="329"/>
      <c r="G14" s="329"/>
      <c r="H14" s="329"/>
    </row>
    <row r="15" spans="1:8" ht="28.5">
      <c r="A15" s="355"/>
      <c r="B15" s="354"/>
      <c r="C15" s="354"/>
      <c r="D15" s="355"/>
      <c r="E15" s="355"/>
      <c r="F15" s="329"/>
      <c r="G15" s="329"/>
      <c r="H15" s="329"/>
    </row>
  </sheetData>
  <mergeCells count="2">
    <mergeCell ref="B8:B9"/>
    <mergeCell ref="A2:H2"/>
  </mergeCells>
  <pageMargins left="0.25" right="0.25" top="0.75" bottom="0.75" header="0.3" footer="0.3"/>
  <pageSetup scale="4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view="pageBreakPreview" zoomScaleNormal="120" zoomScaleSheetLayoutView="100" workbookViewId="0">
      <selection activeCell="F10" sqref="F10"/>
    </sheetView>
  </sheetViews>
  <sheetFormatPr baseColWidth="10" defaultRowHeight="18.75"/>
  <cols>
    <col min="1" max="1" width="18.42578125" style="43" customWidth="1"/>
    <col min="2" max="2" width="30.85546875" style="43" customWidth="1"/>
    <col min="3" max="3" width="23" style="42" customWidth="1"/>
    <col min="4" max="4" width="18" style="42" customWidth="1"/>
    <col min="5" max="5" width="19.85546875" style="38" customWidth="1"/>
    <col min="6" max="6" width="17.85546875" style="38" customWidth="1"/>
    <col min="7" max="7" width="18.5703125" style="38" customWidth="1"/>
    <col min="8" max="16384" width="11.42578125" style="38"/>
  </cols>
  <sheetData>
    <row r="1" spans="1:7" s="98" customFormat="1" ht="24">
      <c r="A1" s="83" t="s">
        <v>667</v>
      </c>
      <c r="B1" s="115"/>
      <c r="C1" s="145"/>
      <c r="D1" s="152"/>
    </row>
    <row r="2" spans="1:7" s="98" customFormat="1" ht="21.75">
      <c r="A2" s="115"/>
      <c r="B2" s="115"/>
      <c r="C2" s="145"/>
      <c r="D2" s="152"/>
    </row>
    <row r="3" spans="1:7" s="98" customFormat="1" ht="21.75">
      <c r="A3" s="126"/>
      <c r="B3" s="126"/>
      <c r="C3" s="152" t="s">
        <v>2</v>
      </c>
      <c r="D3" s="152"/>
    </row>
    <row r="4" spans="1:7" s="98" customFormat="1" ht="43.5">
      <c r="A4" s="120" t="s">
        <v>69</v>
      </c>
      <c r="B4" s="120" t="s">
        <v>4</v>
      </c>
      <c r="C4" s="120" t="s">
        <v>3</v>
      </c>
      <c r="D4" s="120" t="s">
        <v>21</v>
      </c>
      <c r="E4" s="120" t="s">
        <v>5</v>
      </c>
      <c r="F4" s="120" t="s">
        <v>1</v>
      </c>
      <c r="G4" s="120" t="s">
        <v>7</v>
      </c>
    </row>
    <row r="5" spans="1:7" ht="42">
      <c r="A5" s="122">
        <v>46195</v>
      </c>
      <c r="B5" s="54" t="s">
        <v>559</v>
      </c>
      <c r="C5" s="113" t="s">
        <v>560</v>
      </c>
      <c r="D5" s="54"/>
      <c r="E5" s="160">
        <v>47000</v>
      </c>
      <c r="F5" s="54"/>
      <c r="G5" s="54"/>
    </row>
    <row r="6" spans="1:7" ht="21">
      <c r="A6" s="122"/>
      <c r="B6" s="54"/>
      <c r="C6" s="113"/>
      <c r="D6" s="122"/>
      <c r="E6" s="160"/>
      <c r="F6" s="54"/>
      <c r="G6" s="54"/>
    </row>
    <row r="7" spans="1:7" ht="21">
      <c r="A7" s="161"/>
      <c r="B7" s="54"/>
      <c r="C7" s="113"/>
      <c r="D7" s="122"/>
      <c r="E7" s="162">
        <f>SUM(E5:E6)</f>
        <v>47000</v>
      </c>
      <c r="F7" s="54"/>
      <c r="G7" s="54"/>
    </row>
  </sheetData>
  <pageMargins left="0.51181102362204722" right="0.51181102362204722" top="0.55118110236220474" bottom="0.55118110236220474" header="0.31496062992125984" footer="0.31496062992125984"/>
  <pageSetup scale="5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view="pageBreakPreview" topLeftCell="A4" zoomScale="60" zoomScaleNormal="120" workbookViewId="0">
      <selection sqref="A1:G1"/>
    </sheetView>
  </sheetViews>
  <sheetFormatPr baseColWidth="10" defaultRowHeight="15.75"/>
  <cols>
    <col min="1" max="1" width="19.7109375" style="19" customWidth="1"/>
    <col min="2" max="2" width="27.7109375" style="10" customWidth="1"/>
    <col min="3" max="3" width="33.42578125" style="4" customWidth="1"/>
    <col min="4" max="4" width="28.5703125" style="10" customWidth="1"/>
    <col min="5" max="5" width="37" style="1" customWidth="1"/>
    <col min="6" max="6" width="24.7109375" style="1" customWidth="1"/>
    <col min="7" max="7" width="33.28515625" style="1" customWidth="1"/>
    <col min="8" max="16384" width="11.42578125" style="1"/>
  </cols>
  <sheetData>
    <row r="1" spans="1:7" s="98" customFormat="1" ht="46.5">
      <c r="A1" s="540" t="s">
        <v>662</v>
      </c>
      <c r="B1" s="540"/>
      <c r="C1" s="540"/>
      <c r="D1" s="540"/>
      <c r="E1" s="540"/>
      <c r="F1" s="540"/>
      <c r="G1" s="540"/>
    </row>
    <row r="2" spans="1:7" s="98" customFormat="1" ht="21.75">
      <c r="A2" s="115"/>
      <c r="B2" s="145"/>
      <c r="C2" s="45"/>
      <c r="D2" s="152"/>
    </row>
    <row r="3" spans="1:7" s="98" customFormat="1" ht="21.75">
      <c r="A3" s="126"/>
      <c r="B3" s="152" t="s">
        <v>2</v>
      </c>
      <c r="C3" s="45"/>
      <c r="D3" s="152"/>
    </row>
    <row r="4" spans="1:7" s="98" customFormat="1" ht="67.5">
      <c r="A4" s="189" t="s">
        <v>69</v>
      </c>
      <c r="B4" s="189" t="s">
        <v>587</v>
      </c>
      <c r="C4" s="189" t="s">
        <v>4</v>
      </c>
      <c r="D4" s="189" t="s">
        <v>21</v>
      </c>
      <c r="E4" s="189" t="s">
        <v>5</v>
      </c>
      <c r="F4" s="189" t="s">
        <v>1</v>
      </c>
      <c r="G4" s="189" t="s">
        <v>7</v>
      </c>
    </row>
    <row r="5" spans="1:7" ht="252">
      <c r="A5" s="223" t="s">
        <v>665</v>
      </c>
      <c r="B5" s="199" t="s">
        <v>561</v>
      </c>
      <c r="C5" s="171" t="s">
        <v>562</v>
      </c>
      <c r="D5" s="203">
        <v>45875</v>
      </c>
      <c r="E5" s="201">
        <v>11788000</v>
      </c>
      <c r="F5" s="171"/>
      <c r="G5" s="171"/>
    </row>
    <row r="6" spans="1:7" s="23" customFormat="1" ht="31.5">
      <c r="A6" s="223"/>
      <c r="B6" s="199"/>
      <c r="C6" s="171"/>
      <c r="D6" s="203"/>
      <c r="E6" s="201"/>
      <c r="F6" s="202"/>
      <c r="G6" s="202"/>
    </row>
    <row r="7" spans="1:7" s="23" customFormat="1" ht="31.5">
      <c r="A7" s="223"/>
      <c r="B7" s="199"/>
      <c r="C7" s="171"/>
      <c r="D7" s="203"/>
      <c r="E7" s="239">
        <f>SUM(E5:E6)</f>
        <v>11788000</v>
      </c>
      <c r="F7" s="202"/>
      <c r="G7" s="202"/>
    </row>
    <row r="8" spans="1:7" s="23" customFormat="1" ht="31.5">
      <c r="A8" s="223"/>
      <c r="B8" s="199"/>
      <c r="C8" s="171"/>
      <c r="D8" s="200"/>
      <c r="E8" s="201"/>
      <c r="F8" s="202"/>
      <c r="G8" s="202"/>
    </row>
    <row r="9" spans="1:7" s="23" customFormat="1" ht="31.5">
      <c r="A9" s="202"/>
      <c r="B9" s="202"/>
      <c r="C9" s="202"/>
      <c r="D9" s="202"/>
      <c r="E9" s="202"/>
      <c r="F9" s="202"/>
      <c r="G9" s="202"/>
    </row>
    <row r="10" spans="1:7" s="23" customFormat="1" ht="31.5">
      <c r="A10" s="223"/>
      <c r="B10" s="225"/>
      <c r="C10" s="171"/>
      <c r="D10" s="203"/>
      <c r="E10" s="204"/>
      <c r="F10" s="202"/>
      <c r="G10" s="202"/>
    </row>
    <row r="11" spans="1:7" s="23" customFormat="1" ht="31.5">
      <c r="A11" s="223"/>
      <c r="B11" s="225"/>
      <c r="C11" s="171"/>
      <c r="D11" s="203"/>
      <c r="E11" s="205"/>
      <c r="F11" s="202"/>
      <c r="G11" s="202"/>
    </row>
  </sheetData>
  <mergeCells count="1">
    <mergeCell ref="A1:G1"/>
  </mergeCells>
  <pageMargins left="0.51181102362204722" right="0.51181102362204722" top="0.55118110236220474" bottom="0.55118110236220474" header="0.31496062992125984" footer="0.31496062992125984"/>
  <pageSetup scale="44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view="pageBreakPreview" zoomScale="70" zoomScaleNormal="120" zoomScaleSheetLayoutView="70" workbookViewId="0">
      <selection activeCell="F5" sqref="F5"/>
    </sheetView>
  </sheetViews>
  <sheetFormatPr baseColWidth="10" defaultRowHeight="15.75"/>
  <cols>
    <col min="1" max="1" width="26.140625" style="19" customWidth="1"/>
    <col min="2" max="2" width="28.7109375" style="10" customWidth="1"/>
    <col min="3" max="3" width="33.42578125" style="4" customWidth="1"/>
    <col min="4" max="4" width="28.28515625" style="10" customWidth="1"/>
    <col min="5" max="5" width="28.7109375" style="1" customWidth="1"/>
    <col min="6" max="6" width="30.140625" style="1" customWidth="1"/>
    <col min="7" max="7" width="30" style="1" customWidth="1"/>
    <col min="8" max="16384" width="11.42578125" style="1"/>
  </cols>
  <sheetData>
    <row r="1" spans="1:7" s="100" customFormat="1" ht="46.5">
      <c r="A1" s="540" t="s">
        <v>661</v>
      </c>
      <c r="B1" s="540"/>
      <c r="C1" s="540"/>
      <c r="D1" s="540"/>
      <c r="E1" s="540"/>
      <c r="F1" s="540"/>
      <c r="G1" s="540"/>
    </row>
    <row r="2" spans="1:7" s="117" customFormat="1" ht="18.75">
      <c r="A2" s="114"/>
      <c r="B2" s="127"/>
      <c r="C2" s="124"/>
      <c r="D2" s="125"/>
    </row>
    <row r="3" spans="1:7" s="117" customFormat="1" ht="18.75">
      <c r="A3" s="123"/>
      <c r="B3" s="125" t="s">
        <v>2</v>
      </c>
      <c r="C3" s="124"/>
      <c r="D3" s="125"/>
    </row>
    <row r="4" spans="1:7" s="117" customFormat="1" ht="67.5">
      <c r="A4" s="189" t="s">
        <v>69</v>
      </c>
      <c r="B4" s="189" t="s">
        <v>587</v>
      </c>
      <c r="C4" s="189" t="s">
        <v>4</v>
      </c>
      <c r="D4" s="189" t="s">
        <v>21</v>
      </c>
      <c r="E4" s="189" t="s">
        <v>5</v>
      </c>
      <c r="F4" s="189" t="s">
        <v>1</v>
      </c>
      <c r="G4" s="189" t="s">
        <v>7</v>
      </c>
    </row>
    <row r="5" spans="1:7" ht="126">
      <c r="A5" s="223" t="s">
        <v>568</v>
      </c>
      <c r="B5" s="199" t="s">
        <v>32</v>
      </c>
      <c r="C5" s="171" t="s">
        <v>569</v>
      </c>
      <c r="D5" s="203">
        <v>46265</v>
      </c>
      <c r="E5" s="201">
        <v>309140</v>
      </c>
      <c r="F5" s="171"/>
      <c r="G5" s="171"/>
    </row>
    <row r="6" spans="1:7" s="23" customFormat="1" ht="31.5">
      <c r="A6" s="223"/>
      <c r="B6" s="199"/>
      <c r="C6" s="171"/>
      <c r="D6" s="203"/>
      <c r="E6" s="201"/>
      <c r="F6" s="202"/>
      <c r="G6" s="202"/>
    </row>
    <row r="7" spans="1:7" s="23" customFormat="1" ht="31.5">
      <c r="A7" s="223"/>
      <c r="B7" s="199"/>
      <c r="C7" s="171"/>
      <c r="D7" s="203"/>
      <c r="E7" s="201"/>
      <c r="F7" s="202"/>
      <c r="G7" s="202"/>
    </row>
    <row r="8" spans="1:7" s="23" customFormat="1" ht="31.5">
      <c r="A8" s="227"/>
      <c r="B8" s="441"/>
      <c r="C8" s="229"/>
      <c r="D8" s="255"/>
      <c r="E8" s="443">
        <f>SUM(E5:E7)</f>
        <v>309140</v>
      </c>
      <c r="F8" s="206"/>
      <c r="G8" s="206"/>
    </row>
    <row r="9" spans="1:7" ht="28.5">
      <c r="A9" s="354"/>
      <c r="B9" s="355"/>
      <c r="C9" s="356"/>
      <c r="D9" s="355"/>
      <c r="E9" s="329"/>
      <c r="F9" s="329"/>
      <c r="G9" s="329"/>
    </row>
    <row r="10" spans="1:7" ht="28.5">
      <c r="A10" s="354"/>
      <c r="B10" s="355"/>
      <c r="C10" s="356"/>
      <c r="D10" s="355"/>
      <c r="E10" s="329"/>
      <c r="F10" s="329"/>
      <c r="G10" s="329"/>
    </row>
  </sheetData>
  <mergeCells count="1">
    <mergeCell ref="A1:G1"/>
  </mergeCells>
  <pageMargins left="0.25" right="0.25" top="0.75" bottom="0.75" header="0.3" footer="0.3"/>
  <pageSetup scale="48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view="pageBreakPreview" topLeftCell="A4" zoomScale="140" zoomScaleNormal="120" zoomScaleSheetLayoutView="140" workbookViewId="0">
      <selection activeCell="C12" sqref="C12"/>
    </sheetView>
  </sheetViews>
  <sheetFormatPr baseColWidth="10" defaultRowHeight="15.75"/>
  <cols>
    <col min="1" max="1" width="15.42578125" style="19" customWidth="1"/>
    <col min="2" max="2" width="27.7109375" style="10" customWidth="1"/>
    <col min="3" max="3" width="33.42578125" style="4" customWidth="1"/>
    <col min="4" max="4" width="15" style="10" customWidth="1"/>
    <col min="5" max="5" width="19.7109375" style="1" customWidth="1"/>
    <col min="6" max="6" width="30.7109375" style="10" customWidth="1"/>
    <col min="7" max="7" width="13.28515625" style="1" customWidth="1"/>
    <col min="8" max="8" width="18.5703125" style="1" customWidth="1"/>
    <col min="9" max="16384" width="11.42578125" style="1"/>
  </cols>
  <sheetData>
    <row r="1" spans="1:8">
      <c r="A1" s="18" t="s">
        <v>582</v>
      </c>
      <c r="B1" s="14"/>
    </row>
    <row r="2" spans="1:8">
      <c r="A2" s="18"/>
      <c r="B2" s="14"/>
    </row>
    <row r="3" spans="1:8">
      <c r="B3" s="10" t="s">
        <v>2</v>
      </c>
    </row>
    <row r="4" spans="1:8" ht="31.5">
      <c r="A4" s="2" t="s">
        <v>69</v>
      </c>
      <c r="B4" s="2" t="s">
        <v>539</v>
      </c>
      <c r="C4" s="2" t="s">
        <v>4</v>
      </c>
      <c r="D4" s="2" t="s">
        <v>21</v>
      </c>
      <c r="E4" s="2" t="s">
        <v>5</v>
      </c>
      <c r="F4" s="2" t="s">
        <v>16</v>
      </c>
      <c r="G4" s="2" t="s">
        <v>1</v>
      </c>
      <c r="H4" s="2" t="s">
        <v>7</v>
      </c>
    </row>
    <row r="5" spans="1:8" ht="31.5">
      <c r="A5" s="36" t="s">
        <v>585</v>
      </c>
      <c r="B5" s="30" t="s">
        <v>583</v>
      </c>
      <c r="C5" s="8" t="s">
        <v>584</v>
      </c>
      <c r="D5" s="28">
        <v>46246</v>
      </c>
      <c r="E5" s="37">
        <v>70000</v>
      </c>
      <c r="F5" s="8"/>
      <c r="G5" s="8"/>
      <c r="H5" s="8"/>
    </row>
    <row r="6" spans="1:8" s="23" customFormat="1">
      <c r="A6" s="36"/>
      <c r="B6" s="30"/>
      <c r="C6" s="8"/>
      <c r="D6" s="28"/>
      <c r="E6" s="37"/>
      <c r="F6" s="30"/>
      <c r="G6" s="26"/>
      <c r="H6" s="26"/>
    </row>
    <row r="7" spans="1:8" s="23" customFormat="1">
      <c r="A7" s="36"/>
      <c r="B7" s="30"/>
      <c r="C7" s="8"/>
      <c r="D7" s="28"/>
      <c r="E7" s="37"/>
      <c r="F7" s="30"/>
      <c r="G7" s="26"/>
      <c r="H7" s="26"/>
    </row>
    <row r="8" spans="1:8" s="23" customFormat="1">
      <c r="A8" s="36"/>
      <c r="B8" s="30"/>
      <c r="C8" s="8"/>
      <c r="D8" s="21"/>
      <c r="E8" s="37"/>
      <c r="F8" s="25"/>
      <c r="G8" s="26"/>
      <c r="H8" s="26"/>
    </row>
  </sheetData>
  <pageMargins left="0.51181102362204722" right="0.51181102362204722" top="0.55118110236220474" bottom="0.55118110236220474" header="0.31496062992125984" footer="0.31496062992125984"/>
  <pageSetup scale="66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view="pageBreakPreview" zoomScale="60" zoomScaleNormal="120" workbookViewId="0">
      <selection activeCell="C15" sqref="C15"/>
    </sheetView>
  </sheetViews>
  <sheetFormatPr baseColWidth="10" defaultRowHeight="15.75"/>
  <cols>
    <col min="1" max="1" width="28.85546875" style="19" customWidth="1"/>
    <col min="2" max="2" width="57.42578125" style="10" bestFit="1" customWidth="1"/>
    <col min="3" max="3" width="60" style="4" customWidth="1"/>
    <col min="4" max="4" width="22.28515625" style="10" customWidth="1"/>
    <col min="5" max="5" width="32.42578125" style="1" bestFit="1" customWidth="1"/>
    <col min="6" max="6" width="30.42578125" style="1" customWidth="1"/>
    <col min="7" max="16384" width="11.42578125" style="1"/>
  </cols>
  <sheetData>
    <row r="1" spans="1:6" s="100" customFormat="1" ht="39.75">
      <c r="A1" s="547" t="s">
        <v>666</v>
      </c>
      <c r="B1" s="547"/>
      <c r="C1" s="547"/>
      <c r="D1" s="547"/>
      <c r="E1" s="547"/>
      <c r="F1" s="547"/>
    </row>
    <row r="2" spans="1:6" s="117" customFormat="1" ht="18.75">
      <c r="A2" s="114"/>
      <c r="B2" s="127"/>
      <c r="C2" s="124"/>
      <c r="D2" s="125"/>
    </row>
    <row r="3" spans="1:6" s="117" customFormat="1" ht="18.75">
      <c r="A3" s="123"/>
      <c r="B3" s="125" t="s">
        <v>2</v>
      </c>
      <c r="C3" s="124"/>
      <c r="D3" s="125"/>
    </row>
    <row r="4" spans="1:6" s="117" customFormat="1" ht="73.5">
      <c r="A4" s="190" t="s">
        <v>69</v>
      </c>
      <c r="B4" s="190" t="s">
        <v>641</v>
      </c>
      <c r="C4" s="190" t="s">
        <v>4</v>
      </c>
      <c r="D4" s="190" t="s">
        <v>21</v>
      </c>
      <c r="E4" s="190" t="s">
        <v>5</v>
      </c>
      <c r="F4" s="190" t="s">
        <v>1</v>
      </c>
    </row>
    <row r="5" spans="1:6" ht="126">
      <c r="A5" s="223" t="s">
        <v>572</v>
      </c>
      <c r="B5" s="199" t="s">
        <v>573</v>
      </c>
      <c r="C5" s="171" t="s">
        <v>574</v>
      </c>
      <c r="D5" s="203"/>
      <c r="E5" s="201">
        <v>9928150</v>
      </c>
      <c r="F5" s="101"/>
    </row>
    <row r="6" spans="1:6" s="23" customFormat="1" ht="31.5">
      <c r="A6" s="223"/>
      <c r="B6" s="199"/>
      <c r="C6" s="171"/>
      <c r="D6" s="203"/>
      <c r="E6" s="201"/>
      <c r="F6" s="109"/>
    </row>
    <row r="7" spans="1:6" s="23" customFormat="1" ht="31.5">
      <c r="A7" s="223"/>
      <c r="B7" s="199"/>
      <c r="C7" s="171"/>
      <c r="D7" s="203"/>
      <c r="E7" s="201"/>
      <c r="F7" s="109"/>
    </row>
    <row r="8" spans="1:6" s="23" customFormat="1" ht="31.5">
      <c r="A8" s="223"/>
      <c r="B8" s="199"/>
      <c r="C8" s="171"/>
      <c r="D8" s="200"/>
      <c r="E8" s="239">
        <f>SUM(E5:E7)</f>
        <v>9928150</v>
      </c>
      <c r="F8" s="109"/>
    </row>
  </sheetData>
  <mergeCells count="1">
    <mergeCell ref="A1:F1"/>
  </mergeCells>
  <pageMargins left="0.25" right="0.25" top="0.75" bottom="0.75" header="0.3" footer="0.3"/>
  <pageSetup scale="44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view="pageBreakPreview" zoomScale="60" zoomScaleNormal="120" workbookViewId="0">
      <selection activeCell="F15" sqref="F15"/>
    </sheetView>
  </sheetViews>
  <sheetFormatPr baseColWidth="10" defaultRowHeight="15.75"/>
  <cols>
    <col min="1" max="1" width="28.85546875" style="19" customWidth="1"/>
    <col min="2" max="2" width="57.42578125" style="10" bestFit="1" customWidth="1"/>
    <col min="3" max="3" width="60" style="4" customWidth="1"/>
    <col min="4" max="4" width="27.5703125" style="10" customWidth="1"/>
    <col min="5" max="5" width="32.42578125" style="1" bestFit="1" customWidth="1"/>
    <col min="6" max="6" width="30.42578125" style="1" customWidth="1"/>
    <col min="7" max="16384" width="11.42578125" style="1"/>
  </cols>
  <sheetData>
    <row r="1" spans="1:6" s="100" customFormat="1" ht="39.75">
      <c r="A1" s="547" t="s">
        <v>752</v>
      </c>
      <c r="B1" s="547"/>
      <c r="C1" s="547"/>
      <c r="D1" s="547"/>
      <c r="E1" s="547"/>
      <c r="F1" s="547"/>
    </row>
    <row r="2" spans="1:6" s="117" customFormat="1" ht="18.75">
      <c r="A2" s="114"/>
      <c r="B2" s="127"/>
      <c r="C2" s="124"/>
      <c r="D2" s="125"/>
    </row>
    <row r="3" spans="1:6" s="117" customFormat="1" ht="18.75">
      <c r="A3" s="123"/>
      <c r="B3" s="125" t="s">
        <v>2</v>
      </c>
      <c r="C3" s="124"/>
      <c r="D3" s="125"/>
    </row>
    <row r="4" spans="1:6" s="117" customFormat="1" ht="73.5">
      <c r="A4" s="190" t="s">
        <v>69</v>
      </c>
      <c r="B4" s="190" t="s">
        <v>641</v>
      </c>
      <c r="C4" s="190" t="s">
        <v>4</v>
      </c>
      <c r="D4" s="190" t="s">
        <v>21</v>
      </c>
      <c r="E4" s="190" t="s">
        <v>5</v>
      </c>
      <c r="F4" s="190" t="s">
        <v>1</v>
      </c>
    </row>
    <row r="5" spans="1:6" ht="31.5">
      <c r="A5" s="223" t="s">
        <v>753</v>
      </c>
      <c r="B5" s="199" t="s">
        <v>754</v>
      </c>
      <c r="C5" s="171" t="s">
        <v>755</v>
      </c>
      <c r="D5" s="203">
        <v>46251</v>
      </c>
      <c r="E5" s="201">
        <v>750000</v>
      </c>
      <c r="F5" s="101"/>
    </row>
    <row r="6" spans="1:6" s="23" customFormat="1" ht="31.5">
      <c r="A6" s="223"/>
      <c r="B6" s="199"/>
      <c r="C6" s="171"/>
      <c r="D6" s="203"/>
      <c r="E6" s="201"/>
      <c r="F6" s="109"/>
    </row>
    <row r="7" spans="1:6" s="23" customFormat="1" ht="31.5">
      <c r="A7" s="223"/>
      <c r="B7" s="199"/>
      <c r="C7" s="171"/>
      <c r="D7" s="203"/>
      <c r="E7" s="201"/>
      <c r="F7" s="109"/>
    </row>
    <row r="8" spans="1:6" s="23" customFormat="1" ht="31.5">
      <c r="A8" s="223"/>
      <c r="B8" s="199"/>
      <c r="C8" s="171"/>
      <c r="D8" s="200"/>
      <c r="E8" s="239">
        <f>SUM(E5:E7)</f>
        <v>750000</v>
      </c>
      <c r="F8" s="109"/>
    </row>
  </sheetData>
  <mergeCells count="1">
    <mergeCell ref="A1:F1"/>
  </mergeCells>
  <pageMargins left="0.25" right="0.25" top="0.75" bottom="0.75" header="0.3" footer="0.3"/>
  <pageSetup scale="41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view="pageBreakPreview" zoomScale="60" zoomScaleNormal="120" workbookViewId="0">
      <selection activeCell="E18" sqref="E18"/>
    </sheetView>
  </sheetViews>
  <sheetFormatPr baseColWidth="10" defaultRowHeight="15.75"/>
  <cols>
    <col min="1" max="1" width="28.85546875" style="19" customWidth="1"/>
    <col min="2" max="2" width="57.42578125" style="10" bestFit="1" customWidth="1"/>
    <col min="3" max="3" width="60" style="4" customWidth="1"/>
    <col min="4" max="4" width="27.5703125" style="10" customWidth="1"/>
    <col min="5" max="5" width="32.42578125" style="1" bestFit="1" customWidth="1"/>
    <col min="6" max="6" width="30.42578125" style="1" customWidth="1"/>
    <col min="7" max="16384" width="11.42578125" style="1"/>
  </cols>
  <sheetData>
    <row r="1" spans="1:6" s="100" customFormat="1" ht="39.75">
      <c r="A1" s="547" t="s">
        <v>756</v>
      </c>
      <c r="B1" s="547"/>
      <c r="C1" s="547"/>
      <c r="D1" s="547"/>
      <c r="E1" s="547"/>
      <c r="F1" s="547"/>
    </row>
    <row r="2" spans="1:6" s="117" customFormat="1" ht="18.75">
      <c r="A2" s="114"/>
      <c r="B2" s="127"/>
      <c r="C2" s="124"/>
      <c r="D2" s="125"/>
    </row>
    <row r="3" spans="1:6" s="117" customFormat="1" ht="18.75">
      <c r="A3" s="123"/>
      <c r="B3" s="125" t="s">
        <v>2</v>
      </c>
      <c r="C3" s="124"/>
      <c r="D3" s="125"/>
    </row>
    <row r="4" spans="1:6" s="117" customFormat="1" ht="73.5">
      <c r="A4" s="190" t="s">
        <v>69</v>
      </c>
      <c r="B4" s="190" t="s">
        <v>641</v>
      </c>
      <c r="C4" s="190" t="s">
        <v>4</v>
      </c>
      <c r="D4" s="190" t="s">
        <v>21</v>
      </c>
      <c r="E4" s="190" t="s">
        <v>5</v>
      </c>
      <c r="F4" s="190" t="s">
        <v>1</v>
      </c>
    </row>
    <row r="5" spans="1:6" s="117" customFormat="1" ht="63">
      <c r="A5" s="223" t="s">
        <v>272</v>
      </c>
      <c r="B5" s="199" t="s">
        <v>757</v>
      </c>
      <c r="C5" s="171" t="s">
        <v>760</v>
      </c>
      <c r="D5" s="203">
        <v>46141</v>
      </c>
      <c r="E5" s="323">
        <v>150000</v>
      </c>
      <c r="F5" s="171"/>
    </row>
    <row r="6" spans="1:6" ht="94.5">
      <c r="A6" s="223" t="s">
        <v>272</v>
      </c>
      <c r="B6" s="199" t="s">
        <v>758</v>
      </c>
      <c r="C6" s="171" t="s">
        <v>759</v>
      </c>
      <c r="D6" s="203">
        <v>46141</v>
      </c>
      <c r="E6" s="323">
        <v>850000</v>
      </c>
      <c r="F6" s="171"/>
    </row>
    <row r="7" spans="1:6" s="23" customFormat="1" ht="31.5">
      <c r="A7" s="223"/>
      <c r="B7" s="199"/>
      <c r="C7" s="171"/>
      <c r="D7" s="203"/>
      <c r="E7" s="323"/>
      <c r="F7" s="202"/>
    </row>
    <row r="8" spans="1:6" s="23" customFormat="1" ht="31.5">
      <c r="A8" s="223"/>
      <c r="B8" s="199"/>
      <c r="C8" s="171"/>
      <c r="D8" s="203"/>
      <c r="E8" s="322"/>
      <c r="F8" s="202"/>
    </row>
    <row r="9" spans="1:6" s="23" customFormat="1" ht="31.5">
      <c r="A9" s="223"/>
      <c r="B9" s="199"/>
      <c r="C9" s="171"/>
      <c r="D9" s="200"/>
      <c r="E9" s="201"/>
      <c r="F9" s="202"/>
    </row>
  </sheetData>
  <mergeCells count="1">
    <mergeCell ref="A1:F1"/>
  </mergeCells>
  <pageMargins left="0.25" right="0.25" top="0.75" bottom="0.75" header="0.3" footer="0.3"/>
  <pageSetup scale="41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view="pageBreakPreview" zoomScale="60" zoomScaleNormal="70" workbookViewId="0">
      <selection activeCell="E8" sqref="E8"/>
    </sheetView>
  </sheetViews>
  <sheetFormatPr baseColWidth="10" defaultRowHeight="27"/>
  <cols>
    <col min="1" max="1" width="26.28515625" style="66" customWidth="1"/>
    <col min="2" max="2" width="30" style="67" customWidth="1"/>
    <col min="3" max="3" width="33.28515625" style="68" customWidth="1"/>
    <col min="4" max="4" width="29.42578125" style="67" customWidth="1"/>
    <col min="5" max="5" width="30.85546875" style="69" customWidth="1"/>
    <col min="6" max="6" width="28.5703125" style="67" customWidth="1"/>
    <col min="7" max="7" width="25.42578125" style="69" customWidth="1"/>
    <col min="8" max="8" width="34.42578125" style="69" customWidth="1"/>
    <col min="9" max="16384" width="11.42578125" style="69"/>
  </cols>
  <sheetData>
    <row r="1" spans="1:8" s="157" customFormat="1" ht="44.25">
      <c r="A1" s="552" t="s">
        <v>793</v>
      </c>
      <c r="B1" s="552"/>
      <c r="C1" s="552"/>
      <c r="D1" s="552"/>
      <c r="E1" s="552"/>
      <c r="F1" s="552"/>
      <c r="G1" s="552"/>
      <c r="H1" s="552"/>
    </row>
    <row r="3" spans="1:8">
      <c r="B3" s="67" t="s">
        <v>2</v>
      </c>
    </row>
    <row r="4" spans="1:8" ht="69">
      <c r="A4" s="490" t="s">
        <v>69</v>
      </c>
      <c r="B4" s="490" t="s">
        <v>3</v>
      </c>
      <c r="C4" s="490" t="s">
        <v>4</v>
      </c>
      <c r="D4" s="490" t="s">
        <v>21</v>
      </c>
      <c r="E4" s="490" t="s">
        <v>5</v>
      </c>
      <c r="F4" s="490" t="s">
        <v>16</v>
      </c>
      <c r="G4" s="490" t="s">
        <v>1</v>
      </c>
      <c r="H4" s="490" t="s">
        <v>7</v>
      </c>
    </row>
    <row r="5" spans="1:8" ht="105" customHeight="1">
      <c r="A5" s="343" t="s">
        <v>790</v>
      </c>
      <c r="B5" s="242" t="s">
        <v>791</v>
      </c>
      <c r="C5" s="180" t="s">
        <v>792</v>
      </c>
      <c r="D5" s="333">
        <v>46258</v>
      </c>
      <c r="E5" s="344">
        <v>75000</v>
      </c>
      <c r="F5" s="180"/>
      <c r="G5" s="180"/>
      <c r="H5" s="180"/>
    </row>
  </sheetData>
  <mergeCells count="1">
    <mergeCell ref="A1:H1"/>
  </mergeCells>
  <pageMargins left="0.25" right="0.25" top="0.75" bottom="0.75" header="0.3" footer="0.3"/>
  <pageSetup paperSize="9" scale="41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view="pageBreakPreview" zoomScale="60" zoomScaleNormal="70" workbookViewId="0">
      <selection activeCell="G11" sqref="G11"/>
    </sheetView>
  </sheetViews>
  <sheetFormatPr baseColWidth="10" defaultRowHeight="27"/>
  <cols>
    <col min="1" max="1" width="26.28515625" style="66" customWidth="1"/>
    <col min="2" max="2" width="30" style="67" customWidth="1"/>
    <col min="3" max="3" width="33.28515625" style="68" customWidth="1"/>
    <col min="4" max="4" width="29.42578125" style="67" customWidth="1"/>
    <col min="5" max="5" width="30.85546875" style="69" customWidth="1"/>
    <col min="6" max="6" width="28.5703125" style="67" customWidth="1"/>
    <col min="7" max="7" width="25.42578125" style="69" customWidth="1"/>
    <col min="8" max="8" width="34.42578125" style="69" customWidth="1"/>
    <col min="9" max="16384" width="11.42578125" style="69"/>
  </cols>
  <sheetData>
    <row r="1" spans="1:8" s="157" customFormat="1" ht="44.25">
      <c r="A1" s="552" t="s">
        <v>794</v>
      </c>
      <c r="B1" s="552"/>
      <c r="C1" s="552"/>
      <c r="D1" s="552"/>
      <c r="E1" s="552"/>
      <c r="F1" s="552"/>
      <c r="G1" s="552"/>
      <c r="H1" s="552"/>
    </row>
    <row r="3" spans="1:8">
      <c r="B3" s="67" t="s">
        <v>2</v>
      </c>
    </row>
    <row r="4" spans="1:8" ht="69">
      <c r="A4" s="490" t="s">
        <v>69</v>
      </c>
      <c r="B4" s="490" t="s">
        <v>3</v>
      </c>
      <c r="C4" s="490" t="s">
        <v>4</v>
      </c>
      <c r="D4" s="490" t="s">
        <v>21</v>
      </c>
      <c r="E4" s="490" t="s">
        <v>5</v>
      </c>
      <c r="F4" s="490" t="s">
        <v>16</v>
      </c>
      <c r="G4" s="490" t="s">
        <v>1</v>
      </c>
      <c r="H4" s="490" t="s">
        <v>7</v>
      </c>
    </row>
    <row r="5" spans="1:8" ht="105" customHeight="1">
      <c r="A5" s="343" t="s">
        <v>790</v>
      </c>
      <c r="B5" s="242" t="s">
        <v>791</v>
      </c>
      <c r="C5" s="180" t="s">
        <v>792</v>
      </c>
      <c r="D5" s="333">
        <v>46258</v>
      </c>
      <c r="E5" s="344">
        <v>75000</v>
      </c>
      <c r="F5" s="180"/>
      <c r="G5" s="180"/>
      <c r="H5" s="180"/>
    </row>
  </sheetData>
  <mergeCells count="1">
    <mergeCell ref="A1:H1"/>
  </mergeCells>
  <pageMargins left="0.25" right="0.25" top="0.75" bottom="0.75" header="0.3" footer="0.3"/>
  <pageSetup paperSize="9" scale="41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view="pageBreakPreview" zoomScale="60" zoomScaleNormal="70" workbookViewId="0">
      <selection activeCell="F8" sqref="F8"/>
    </sheetView>
  </sheetViews>
  <sheetFormatPr baseColWidth="10" defaultRowHeight="27"/>
  <cols>
    <col min="1" max="1" width="26.28515625" style="66" customWidth="1"/>
    <col min="2" max="2" width="30" style="67" customWidth="1"/>
    <col min="3" max="3" width="33.28515625" style="68" customWidth="1"/>
    <col min="4" max="4" width="29.42578125" style="67" customWidth="1"/>
    <col min="5" max="5" width="30.85546875" style="69" customWidth="1"/>
    <col min="6" max="6" width="28.5703125" style="67" customWidth="1"/>
    <col min="7" max="7" width="25.42578125" style="69" customWidth="1"/>
    <col min="8" max="8" width="34.42578125" style="69" customWidth="1"/>
    <col min="9" max="16384" width="11.42578125" style="69"/>
  </cols>
  <sheetData>
    <row r="1" spans="1:8" s="157" customFormat="1" ht="44.25">
      <c r="A1" s="552" t="s">
        <v>809</v>
      </c>
      <c r="B1" s="552"/>
      <c r="C1" s="552"/>
      <c r="D1" s="552"/>
      <c r="E1" s="552"/>
      <c r="F1" s="552"/>
      <c r="G1" s="552"/>
      <c r="H1" s="552"/>
    </row>
    <row r="3" spans="1:8">
      <c r="B3" s="67" t="s">
        <v>2</v>
      </c>
    </row>
    <row r="4" spans="1:8" ht="69">
      <c r="A4" s="490" t="s">
        <v>69</v>
      </c>
      <c r="B4" s="490" t="s">
        <v>587</v>
      </c>
      <c r="C4" s="490" t="s">
        <v>4</v>
      </c>
      <c r="D4" s="490" t="s">
        <v>21</v>
      </c>
      <c r="E4" s="490" t="s">
        <v>5</v>
      </c>
      <c r="F4" s="490" t="s">
        <v>16</v>
      </c>
      <c r="G4" s="490" t="s">
        <v>1</v>
      </c>
      <c r="H4" s="490" t="s">
        <v>7</v>
      </c>
    </row>
    <row r="5" spans="1:8" ht="138">
      <c r="A5" s="333">
        <v>46198</v>
      </c>
      <c r="B5" s="242" t="s">
        <v>339</v>
      </c>
      <c r="C5" s="180" t="s">
        <v>810</v>
      </c>
      <c r="D5" s="333">
        <v>46258</v>
      </c>
      <c r="E5" s="180">
        <v>60000</v>
      </c>
      <c r="F5" s="180"/>
      <c r="G5" s="180"/>
      <c r="H5" s="180"/>
    </row>
    <row r="6" spans="1:8" ht="148.5" customHeight="1">
      <c r="A6" s="343" t="s">
        <v>790</v>
      </c>
      <c r="B6" s="242" t="s">
        <v>339</v>
      </c>
      <c r="C6" s="180" t="s">
        <v>810</v>
      </c>
      <c r="D6" s="333">
        <v>46258</v>
      </c>
      <c r="E6" s="344">
        <v>70000</v>
      </c>
      <c r="F6" s="180"/>
      <c r="G6" s="180"/>
      <c r="H6" s="180"/>
    </row>
  </sheetData>
  <mergeCells count="1">
    <mergeCell ref="A1:H1"/>
  </mergeCells>
  <pageMargins left="0.25" right="0.25" top="0.75" bottom="0.75" header="0.3" footer="0.3"/>
  <pageSetup paperSize="9"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86</vt:i4>
      </vt:variant>
      <vt:variant>
        <vt:lpstr>Plages nommées</vt:lpstr>
      </vt:variant>
      <vt:variant>
        <vt:i4>34</vt:i4>
      </vt:variant>
    </vt:vector>
  </HeadingPairs>
  <TitlesOfParts>
    <vt:vector size="120" baseType="lpstr">
      <vt:lpstr>TELE CONGO</vt:lpstr>
      <vt:lpstr>AFCOM</vt:lpstr>
      <vt:lpstr>INC</vt:lpstr>
      <vt:lpstr>SOMAC</vt:lpstr>
      <vt:lpstr>SPORAFRIC</vt:lpstr>
      <vt:lpstr>DALPIVOT</vt:lpstr>
      <vt:lpstr>GPE-DLT</vt:lpstr>
      <vt:lpstr>ARDIA</vt:lpstr>
      <vt:lpstr>CONGO TELECOM</vt:lpstr>
      <vt:lpstr>NSIA</vt:lpstr>
      <vt:lpstr>HOP. TALANGAI</vt:lpstr>
      <vt:lpstr>HOP. REG. ARMEE</vt:lpstr>
      <vt:lpstr>HOP. MILITAIRE</vt:lpstr>
      <vt:lpstr>FCIE MAVRE</vt:lpstr>
      <vt:lpstr>FCIE CROIX DU SUD</vt:lpstr>
      <vt:lpstr>FCIE DAFFE</vt:lpstr>
      <vt:lpstr>DS</vt:lpstr>
      <vt:lpstr>OLALA</vt:lpstr>
      <vt:lpstr>ETS ND SCE</vt:lpstr>
      <vt:lpstr>BUROTOP IRIS</vt:lpstr>
      <vt:lpstr>Mr KOUKA </vt:lpstr>
      <vt:lpstr>LABO INJECTION</vt:lpstr>
      <vt:lpstr>ETS SYMPA</vt:lpstr>
      <vt:lpstr>MEGASTORE</vt:lpstr>
      <vt:lpstr>ORCA</vt:lpstr>
      <vt:lpstr>METRO DE LUXE</vt:lpstr>
      <vt:lpstr>MICROPLUS</vt:lpstr>
      <vt:lpstr>DRTV PN</vt:lpstr>
      <vt:lpstr>DRTV</vt:lpstr>
      <vt:lpstr>MCRTV</vt:lpstr>
      <vt:lpstr>BONNE NOUVELLE</vt:lpstr>
      <vt:lpstr>LIBTECH.EXE</vt:lpstr>
      <vt:lpstr>MANAGER HOR.</vt:lpstr>
      <vt:lpstr>LES DEPECHES DE BZV</vt:lpstr>
      <vt:lpstr>ED. LES SOZO</vt:lpstr>
      <vt:lpstr>BUROTEC</vt:lpstr>
      <vt:lpstr>SUPER SONIC</vt:lpstr>
      <vt:lpstr>CARREFOUR</vt:lpstr>
      <vt:lpstr>EC</vt:lpstr>
      <vt:lpstr>Chanel MONGONGO</vt:lpstr>
      <vt:lpstr>SCHEKINAH</vt:lpstr>
      <vt:lpstr>STECH SERVICES</vt:lpstr>
      <vt:lpstr>ROSERAIE SCE</vt:lpstr>
      <vt:lpstr>POINT SYS CG</vt:lpstr>
      <vt:lpstr>UNITED CONGO</vt:lpstr>
      <vt:lpstr>CONGO INFORMATIQUE</vt:lpstr>
      <vt:lpstr>LABO NATIONALE</vt:lpstr>
      <vt:lpstr>MBOTE SHOP</vt:lpstr>
      <vt:lpstr>MASSANZAMBI</vt:lpstr>
      <vt:lpstr>MPC</vt:lpstr>
      <vt:lpstr>COMPU-STORE</vt:lpstr>
      <vt:lpstr>GAR-AUTOLOGIC</vt:lpstr>
      <vt:lpstr>AUTO MOBILE </vt:lpstr>
      <vt:lpstr>ETS HANA FRED</vt:lpstr>
      <vt:lpstr>ETS BRISCO</vt:lpstr>
      <vt:lpstr>GAR. AUTO MONDIAL</vt:lpstr>
      <vt:lpstr>GAR. LABO INJECTION</vt:lpstr>
      <vt:lpstr>CARROSSERIE BAZAS</vt:lpstr>
      <vt:lpstr>BILLY SERVICES</vt:lpstr>
      <vt:lpstr>SOFT-RENOVATION</vt:lpstr>
      <vt:lpstr>CHRIST FROID</vt:lpstr>
      <vt:lpstr>STATION TOTAL</vt:lpstr>
      <vt:lpstr>PB SOLUTION</vt:lpstr>
      <vt:lpstr>E2C</vt:lpstr>
      <vt:lpstr>LCDE</vt:lpstr>
      <vt:lpstr>BL TECHNOLOGY</vt:lpstr>
      <vt:lpstr>BANAB TECH &amp; SCES</vt:lpstr>
      <vt:lpstr>IT-TECH</vt:lpstr>
      <vt:lpstr>CAPEL SCES</vt:lpstr>
      <vt:lpstr>SAFE-TECH</vt:lpstr>
      <vt:lpstr>SILICONE</vt:lpstr>
      <vt:lpstr>KUDIA</vt:lpstr>
      <vt:lpstr>KINGM</vt:lpstr>
      <vt:lpstr>BIANTOS AGENCY</vt:lpstr>
      <vt:lpstr>VISION2MZ</vt:lpstr>
      <vt:lpstr>ETS-DB</vt:lpstr>
      <vt:lpstr>GENYNE SCE</vt:lpstr>
      <vt:lpstr>GARDE REP.</vt:lpstr>
      <vt:lpstr>GLENN SERVICES</vt:lpstr>
      <vt:lpstr>LAVAGE AUTO</vt:lpstr>
      <vt:lpstr>L'ASSOCIE</vt:lpstr>
      <vt:lpstr>CONSO PLUS</vt:lpstr>
      <vt:lpstr>MALONGA SCES</vt:lpstr>
      <vt:lpstr>AFRIQUE AUTOMOBILE</vt:lpstr>
      <vt:lpstr>ETS DIALLA AUTO</vt:lpstr>
      <vt:lpstr>PUMA</vt:lpstr>
      <vt:lpstr>AFCOM!Zone_d_impression</vt:lpstr>
      <vt:lpstr>ARDIA!Zone_d_impression</vt:lpstr>
      <vt:lpstr>'BILLY SERVICES'!Zone_d_impression</vt:lpstr>
      <vt:lpstr>'BL TECHNOLOGY'!Zone_d_impression</vt:lpstr>
      <vt:lpstr>'BONNE NOUVELLE'!Zone_d_impression</vt:lpstr>
      <vt:lpstr>'BUROTOP IRIS'!Zone_d_impression</vt:lpstr>
      <vt:lpstr>CARREFOUR!Zone_d_impression</vt:lpstr>
      <vt:lpstr>'CHRIST FROID'!Zone_d_impression</vt:lpstr>
      <vt:lpstr>'DRTV PN'!Zone_d_impression</vt:lpstr>
      <vt:lpstr>DS!Zone_d_impression</vt:lpstr>
      <vt:lpstr>E2C!Zone_d_impression</vt:lpstr>
      <vt:lpstr>'ED. LES SOZO'!Zone_d_impression</vt:lpstr>
      <vt:lpstr>'ETS SYMPA'!Zone_d_impression</vt:lpstr>
      <vt:lpstr>'ETS-DB'!Zone_d_impression</vt:lpstr>
      <vt:lpstr>'GENYNE SCE'!Zone_d_impression</vt:lpstr>
      <vt:lpstr>'GPE-DLT'!Zone_d_impression</vt:lpstr>
      <vt:lpstr>'HOP. MILITAIRE'!Zone_d_impression</vt:lpstr>
      <vt:lpstr>'HOP. TALANGAI'!Zone_d_impression</vt:lpstr>
      <vt:lpstr>INC!Zone_d_impression</vt:lpstr>
      <vt:lpstr>KUDIA!Zone_d_impression</vt:lpstr>
      <vt:lpstr>'LABO INJECTION'!Zone_d_impression</vt:lpstr>
      <vt:lpstr>LCDE!Zone_d_impression</vt:lpstr>
      <vt:lpstr>MICROPLUS!Zone_d_impression</vt:lpstr>
      <vt:lpstr>NSIA!Zone_d_impression</vt:lpstr>
      <vt:lpstr>PUMA!Zone_d_impression</vt:lpstr>
      <vt:lpstr>'ROSERAIE SCE'!Zone_d_impression</vt:lpstr>
      <vt:lpstr>'SAFE-TECH'!Zone_d_impression</vt:lpstr>
      <vt:lpstr>SCHEKINAH!Zone_d_impression</vt:lpstr>
      <vt:lpstr>SILICONE!Zone_d_impression</vt:lpstr>
      <vt:lpstr>'SOFT-RENOVATION'!Zone_d_impression</vt:lpstr>
      <vt:lpstr>SOMAC!Zone_d_impression</vt:lpstr>
      <vt:lpstr>SPORAFRIC!Zone_d_impression</vt:lpstr>
      <vt:lpstr>'STECH SERVICES'!Zone_d_impression</vt:lpstr>
      <vt:lpstr>'TELE CONGO'!Zone_d_impression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2026-08-28T11:44:08Z</cp:lastPrinted>
  <dcterms:created xsi:type="dcterms:W3CDTF">2026-07-17T12:13:19Z</dcterms:created>
  <dcterms:modified xsi:type="dcterms:W3CDTF">2026-08-28T18:11:17Z</dcterms:modified>
</cp:coreProperties>
</file>